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F28F16DF-2A54-458E-9E65-00F632B8C4F9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RMS_통합RCU미복구!$A$1:$Z$11</definedName>
    <definedName name="_xlnm._FilterDatabase" localSheetId="3" hidden="1">'중계기 및 MIBOS 알람'!$A$1:$I$8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<sst xmlns="http://schemas.openxmlformats.org/spreadsheetml/2006/main" count="40463" uniqueCount="3760">
  <si>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</si>
  <si>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</si>
  <si>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</si>
  <si>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</si>
  <si>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</si>
  <si>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</si>
  <si>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</si>
  <si>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</si>
  <si>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</si>
  <si>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</si>
  <si>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</si>
  <si>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</si>
  <si>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</si>
  <si>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</si>
  <si>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</si>
  <si>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</si>
  <si>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</si>
  <si>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</si>
  <si>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</si>
  <si>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</si>
  <si>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</si>
  <si>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</si>
  <si>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</si>
  <si>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</si>
  <si>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</si>
  <si>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</si>
  <si>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</si>
  <si>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</si>
  <si>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</si>
  <si>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</si>
  <si>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</si>
  <si>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</si>
  <si>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</si>
  <si>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</si>
  <si>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</si>
  <si>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</si>
  <si>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</si>
  <si>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</si>
  <si>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</si>
  <si>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</si>
  <si>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</si>
  <si>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</si>
  <si>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</si>
  <si>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</si>
  <si>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</si>
  <si>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</si>
  <si>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</si>
  <si>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</si>
  <si>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</si>
  <si>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</si>
  <si>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</si>
  <si>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</si>
  <si>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</si>
  <si>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</si>
  <si>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</si>
  <si>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</si>
  <si>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</si>
  <si>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</si>
  <si>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</si>
  <si>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</si>
  <si>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</si>
  <si>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</si>
  <si>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</si>
  <si>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</si>
  <si>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</si>
  <si>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</si>
  <si>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</si>
  <si>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</si>
  <si>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</si>
  <si>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</si>
  <si>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</si>
  <si>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</si>
  <si>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</si>
  <si>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</si>
  <si>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</si>
  <si>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</si>
  <si>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</si>
  <si>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</si>
  <si>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</si>
  <si>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</si>
  <si>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</si>
  <si>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</si>
  <si>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</si>
  <si>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</si>
  <si>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</si>
  <si>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</si>
  <si>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</si>
  <si>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</si>
  <si>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</si>
  <si>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</si>
  <si>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</si>
  <si>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</si>
  <si>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</si>
  <si>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</si>
  <si>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</si>
  <si>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</si>
  <si>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</si>
  <si>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</si>
  <si>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</si>
  <si>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</si>
  <si>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</si>
  <si>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</si>
  <si>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</si>
  <si>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</si>
  <si>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</si>
  <si>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</si>
  <si>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</si>
  <si>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</si>
  <si>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</si>
  <si>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</si>
  <si>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</si>
  <si>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</si>
  <si>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</si>
  <si>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</si>
  <si>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</si>
  <si>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</si>
  <si>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</si>
  <si>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</si>
  <si>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</si>
  <si>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</si>
  <si>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</si>
  <si>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</si>
  <si>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</si>
  <si>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</si>
  <si>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</si>
  <si>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</si>
  <si>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</si>
  <si>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</si>
  <si>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</si>
  <si>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</si>
  <si>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</si>
  <si>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</si>
  <si>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</si>
  <si>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</si>
  <si>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</si>
  <si>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</si>
  <si>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</si>
  <si>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</si>
  <si>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</si>
  <si>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</si>
  <si>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</si>
  <si>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</si>
  <si>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</si>
  <si>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</si>
  <si>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</si>
  <si>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</si>
  <si>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</si>
  <si>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</si>
  <si>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</si>
  <si>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</si>
  <si>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</si>
  <si>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</si>
  <si>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</si>
  <si>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</si>
  <si>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</si>
  <si>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</si>
  <si>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</si>
  <si>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</si>
  <si>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</si>
  <si>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</si>
  <si>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</si>
  <si>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</si>
  <si>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</si>
  <si>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</si>
  <si>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</si>
  <si>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</si>
  <si>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</si>
  <si>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</si>
  <si>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</si>
  <si>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</si>
  <si>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</si>
  <si>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</si>
  <si>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</si>
  <si>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</si>
  <si>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</si>
  <si>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</si>
  <si>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</si>
  <si>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</si>
  <si>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</si>
  <si>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</si>
  <si>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</si>
  <si>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</si>
  <si>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</si>
  <si>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</si>
  <si>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</si>
  <si>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</si>
  <si>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</si>
  <si>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</si>
  <si>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</si>
  <si>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</si>
  <si>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</si>
  <si>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</si>
  <si>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</si>
  <si>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</si>
  <si>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</si>
  <si>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</si>
  <si>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</si>
  <si>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</si>
  <si>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</si>
  <si>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</si>
  <si>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</si>
  <si>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</si>
  <si>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</si>
  <si>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</si>
  <si>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</si>
  <si>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</si>
  <si>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</si>
  <si>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</si>
  <si>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</si>
  <si>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</si>
  <si>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</si>
  <si>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</si>
  <si>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</si>
  <si>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</si>
  <si>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</si>
  <si>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</si>
  <si>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</si>
  <si>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</si>
  <si>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</si>
  <si>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</si>
  <si>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</si>
  <si>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</si>
  <si>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</si>
  <si>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</si>
  <si>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</si>
  <si>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</si>
  <si>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</si>
  <si>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</si>
  <si>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</si>
  <si>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</si>
  <si>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</si>
  <si>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</si>
  <si>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</si>
  <si>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</si>
  <si>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</si>
  <si>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</si>
  <si>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</si>
  <si>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</si>
  <si>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</si>
  <si>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</si>
  <si>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</si>
  <si>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</si>
  <si>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</si>
  <si>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</si>
  <si>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</si>
  <si>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</si>
  <si>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</si>
  <si>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</si>
  <si>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</si>
  <si>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</si>
  <si>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</si>
  <si>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</si>
  <si>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</si>
  <si>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</si>
  <si>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</si>
  <si>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</si>
  <si>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</si>
  <si>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</si>
  <si>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</si>
  <si>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</si>
  <si>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</si>
  <si>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</si>
  <si>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</si>
  <si>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</si>
  <si>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</si>
  <si>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</si>
  <si>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</si>
  <si>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</si>
  <si>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</si>
  <si>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</si>
  <si>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</si>
  <si>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</si>
  <si>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</si>
  <si>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</si>
  <si>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</si>
  <si>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</si>
  <si>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</si>
  <si>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</si>
  <si>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</si>
  <si>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</si>
  <si>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</si>
  <si>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</si>
  <si>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</si>
  <si>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</si>
  <si>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</si>
  <si>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</si>
  <si>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</si>
  <si>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</si>
  <si>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</si>
  <si>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</si>
  <si>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</si>
  <si>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</si>
  <si>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</si>
  <si>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</si>
  <si>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</si>
  <si>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</si>
  <si>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</si>
  <si>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</si>
  <si>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</si>
  <si>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</si>
  <si>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</si>
  <si>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</si>
  <si>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</si>
  <si>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</si>
  <si>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</si>
  <si>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</si>
  <si>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</si>
  <si>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</si>
  <si>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</si>
  <si>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</si>
  <si>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</si>
  <si>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</si>
  <si>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</si>
  <si>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</si>
  <si>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</si>
  <si>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</si>
  <si>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</si>
  <si>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</si>
  <si>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</si>
  <si>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</si>
  <si>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</si>
  <si>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</si>
  <si>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</si>
  <si>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</si>
  <si>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</si>
  <si>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</si>
  <si>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</si>
  <si>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</si>
  <si>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</si>
  <si>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</si>
  <si>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</si>
  <si>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</si>
  <si>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</si>
  <si>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</si>
  <si>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</si>
  <si>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</si>
  <si>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</si>
  <si>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</si>
  <si>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</si>
  <si>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</si>
  <si>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</si>
  <si>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</si>
  <si>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</si>
  <si>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</si>
  <si>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</si>
  <si>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</si>
  <si>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</si>
  <si>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</si>
  <si>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</si>
  <si>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</si>
  <si>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</si>
  <si>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</si>
  <si>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</si>
  <si>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</si>
  <si>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</si>
  <si>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</si>
  <si>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</si>
  <si>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</si>
  <si>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</si>
  <si>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</si>
  <si>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</si>
  <si>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</si>
  <si>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</si>
  <si>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</si>
  <si>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</si>
  <si>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</si>
  <si>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</si>
  <si>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</si>
  <si>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</si>
  <si>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</si>
  <si>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</si>
  <si>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</si>
  <si>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</si>
  <si>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</si>
  <si>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</si>
  <si>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</si>
  <si>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</si>
  <si>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</si>
  <si>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</si>
  <si>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</si>
  <si>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</si>
  <si>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</si>
  <si>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</si>
  <si>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</si>
  <si>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</si>
  <si>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</si>
  <si>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</si>
  <si>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</si>
  <si>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</si>
  <si>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</si>
  <si>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</si>
  <si>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</si>
  <si>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</si>
  <si>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</si>
  <si>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</si>
  <si>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</si>
  <si>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</si>
  <si>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</si>
  <si>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</si>
  <si>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</si>
  <si>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</si>
  <si>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</si>
  <si>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</si>
  <si>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</si>
  <si>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</si>
  <si>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</si>
  <si>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</si>
  <si>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</si>
  <si>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</si>
  <si>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</si>
  <si>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</si>
  <si>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</si>
  <si>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</si>
  <si>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</si>
  <si>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</si>
  <si>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</si>
  <si>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</si>
  <si>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</si>
  <si>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</si>
  <si>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</si>
  <si>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</si>
  <si>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</si>
  <si>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</si>
  <si>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</si>
  <si>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</si>
  <si>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</si>
  <si>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</si>
  <si>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</si>
  <si>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</si>
  <si>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</si>
  <si>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</si>
  <si>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</si>
  <si>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</si>
  <si>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</si>
  <si>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</si>
  <si>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</si>
  <si>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</si>
  <si>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</si>
  <si>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</si>
  <si>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</si>
  <si>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</si>
  <si>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</si>
  <si>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</si>
  <si>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</si>
  <si>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</si>
  <si>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</si>
  <si>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</si>
  <si>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</si>
  <si>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</si>
  <si>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</si>
  <si>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</si>
  <si>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</si>
  <si>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</si>
  <si>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</si>
  <si>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</si>
  <si>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</si>
  <si>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</si>
  <si>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</si>
  <si>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</si>
  <si>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</si>
  <si>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</si>
  <si>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</si>
  <si>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</si>
  <si>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</si>
  <si>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</si>
  <si>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</si>
  <si>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</si>
  <si>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</si>
  <si>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</si>
  <si>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</si>
  <si>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</si>
  <si>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</si>
  <si>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</si>
  <si>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</si>
  <si>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</si>
  <si>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</si>
  <si>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</si>
  <si>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</si>
  <si>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</si>
  <si>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</si>
  <si>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</si>
  <si>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</si>
  <si>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</si>
  <si>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</si>
  <si>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</si>
  <si>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</si>
  <si>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</si>
  <si>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</si>
  <si>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</si>
  <si>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</si>
  <si>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</si>
  <si>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</si>
  <si>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</si>
  <si>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</si>
  <si>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</si>
  <si>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</si>
  <si>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</si>
  <si>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</si>
  <si>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</si>
  <si>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</si>
  <si>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</si>
  <si>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</si>
  <si>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</si>
  <si>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</si>
  <si>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</si>
  <si>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</si>
  <si>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</si>
  <si>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</si>
  <si>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</si>
  <si>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</si>
  <si>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</si>
  <si>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</si>
  <si>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</si>
  <si>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</si>
  <si>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</si>
  <si>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</si>
  <si>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</si>
  <si>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</si>
  <si>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</si>
  <si>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</si>
  <si>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</si>
  <si>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</si>
  <si>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</si>
  <si>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</si>
  <si>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</si>
  <si>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</si>
  <si>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</si>
  <si>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</si>
  <si>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</si>
  <si>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</si>
  <si>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</si>
  <si>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</si>
  <si>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</si>
  <si>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</si>
  <si>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</si>
  <si>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</si>
  <si>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</si>
  <si>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</si>
  <si>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</si>
  <si>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</si>
  <si>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</si>
  <si>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</si>
  <si>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</si>
  <si>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</si>
  <si>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</si>
  <si>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</si>
  <si>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</si>
  <si>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</si>
  <si>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</si>
  <si>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</si>
  <si>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</si>
  <si>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</si>
  <si>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</si>
  <si>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</si>
  <si>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</si>
  <si>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</si>
  <si>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</si>
  <si>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</si>
  <si>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</si>
  <si>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</si>
  <si>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</si>
  <si>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</si>
  <si>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</si>
  <si>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</si>
  <si>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</si>
  <si>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</si>
  <si>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</si>
  <si>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</si>
  <si>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</si>
  <si>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</si>
  <si>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</si>
  <si>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</si>
  <si>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</si>
  <si>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</si>
  <si>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</si>
  <si>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</si>
  <si>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</si>
  <si>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</si>
  <si>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</si>
  <si>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</si>
  <si>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</si>
  <si>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</si>
  <si>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</si>
  <si>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</si>
  <si>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</si>
  <si>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</si>
  <si>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</si>
  <si>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</si>
  <si>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</si>
  <si>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</si>
  <si>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</si>
  <si>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</si>
  <si>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</si>
  <si>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</si>
  <si>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</si>
  <si>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</si>
  <si>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</si>
  <si>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</si>
  <si>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</si>
  <si>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</si>
  <si>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</si>
  <si>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</si>
  <si>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</si>
  <si>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</si>
  <si>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</si>
  <si>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</si>
  <si>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</si>
  <si>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</si>
  <si>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</si>
  <si>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</si>
  <si>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</si>
  <si>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</si>
  <si>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</si>
  <si>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</si>
  <si>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</si>
  <si>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</si>
  <si>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</si>
  <si>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</si>
  <si>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</si>
  <si>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</si>
  <si>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</si>
  <si>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</si>
  <si>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</si>
  <si>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</si>
  <si>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</si>
  <si>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</si>
  <si>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</si>
  <si>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</si>
  <si>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</si>
  <si>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</si>
  <si>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</si>
  <si>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</si>
  <si>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</si>
  <si>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</si>
  <si>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</si>
  <si>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</si>
  <si>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</si>
  <si>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</si>
  <si>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</si>
  <si>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</si>
  <si>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</si>
  <si>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</si>
  <si>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</si>
  <si>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</si>
  <si>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</si>
  <si>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</si>
  <si>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</si>
  <si>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</si>
  <si>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</si>
  <si>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</si>
  <si>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</si>
  <si>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</si>
  <si>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</si>
  <si>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</si>
  <si>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</si>
  <si>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</si>
  <si>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</si>
  <si>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</si>
  <si>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</si>
  <si>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</si>
  <si>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</si>
  <si>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</si>
  <si>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</si>
  <si>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</si>
  <si>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</si>
  <si>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</si>
  <si>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</si>
  <si>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</si>
  <si>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</si>
  <si>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</si>
  <si>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</si>
  <si>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</si>
  <si>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</si>
  <si>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</si>
  <si>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</si>
  <si>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</si>
  <si>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</si>
  <si>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</si>
  <si>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</si>
  <si>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</si>
  <si>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</si>
  <si>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</si>
  <si>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</si>
  <si>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</si>
  <si>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</si>
  <si>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</si>
  <si>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</si>
  <si>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</si>
  <si>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</si>
  <si>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</si>
  <si>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</si>
  <si>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</si>
  <si>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</si>
  <si>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</si>
  <si>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</si>
  <si>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</si>
  <si>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</si>
  <si>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</si>
  <si>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</si>
  <si>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</si>
  <si>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</si>
  <si>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</si>
  <si>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</si>
  <si>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</si>
  <si>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</si>
  <si>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</si>
  <si>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</si>
  <si>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</si>
  <si>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</si>
  <si>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</si>
  <si>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</si>
  <si>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</si>
  <si>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</si>
  <si>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</si>
  <si>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</si>
  <si>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</si>
  <si>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</si>
  <si>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</si>
  <si>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</si>
  <si>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</si>
  <si>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</si>
  <si>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</si>
  <si>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</si>
  <si>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</si>
  <si>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</si>
  <si>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</si>
  <si>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</si>
  <si>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</si>
  <si>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</si>
  <si>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</si>
  <si>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</si>
  <si>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</si>
  <si>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</si>
  <si>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</si>
  <si>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</si>
  <si>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</si>
  <si>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</si>
  <si>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</si>
  <si>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</si>
  <si>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</si>
  <si>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</si>
  <si>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</si>
  <si>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</si>
  <si>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</si>
  <si>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</si>
  <si>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</si>
  <si>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</si>
  <si>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</si>
  <si>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</si>
  <si>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</si>
  <si>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</si>
  <si>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</si>
  <si>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</si>
  <si>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</si>
  <si>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</si>
  <si>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</si>
  <si>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</si>
  <si>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</si>
  <si>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</si>
  <si>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</si>
  <si>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</si>
  <si>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</si>
  <si>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</si>
  <si>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</si>
  <si>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</si>
  <si>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</si>
  <si>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</si>
  <si>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</si>
  <si>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</si>
  <si>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</si>
  <si>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</si>
  <si>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</si>
  <si>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</si>
  <si>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</si>
  <si>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</si>
  <si>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</si>
  <si>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</si>
  <si>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</si>
  <si>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</si>
  <si>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</si>
  <si>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</si>
  <si>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</si>
  <si>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</si>
  <si>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</si>
  <si>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</si>
  <si>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</si>
  <si>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</si>
  <si>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</si>
  <si>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</si>
  <si>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</si>
  <si>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</si>
  <si>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</si>
  <si>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</si>
  <si>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</si>
  <si>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</si>
  <si>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</si>
  <si>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</si>
  <si>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</si>
  <si>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</si>
  <si>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</si>
  <si>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</si>
  <si>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</si>
  <si>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</si>
  <si>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</si>
  <si>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</si>
  <si>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</si>
  <si>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</si>
  <si>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</si>
  <si>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</si>
  <si>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</si>
  <si>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</si>
  <si>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</si>
  <si>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</si>
  <si>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</si>
  <si>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</si>
  <si>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</si>
  <si>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</si>
  <si>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</si>
  <si>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</si>
  <si>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</si>
  <si>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</si>
  <si>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</si>
  <si>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</si>
  <si>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</si>
  <si>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</si>
  <si>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</si>
  <si>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</si>
  <si>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</si>
  <si>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</si>
  <si>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</si>
  <si>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</si>
  <si>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</si>
  <si>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</si>
  <si>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</si>
  <si>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</si>
  <si>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</si>
  <si>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</si>
  <si>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</si>
  <si>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</si>
  <si>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</si>
  <si>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</si>
  <si>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</si>
  <si>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</si>
  <si>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</si>
  <si>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</si>
  <si>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</si>
  <si>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</si>
  <si>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</si>
  <si>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</si>
  <si>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</si>
  <si>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</si>
  <si>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</si>
  <si>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</si>
  <si>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</si>
  <si>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</si>
  <si>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</si>
  <si>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</si>
  <si>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</si>
  <si>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</si>
  <si>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</si>
  <si>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</si>
  <si>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</si>
  <si>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</si>
  <si>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</si>
  <si>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</si>
  <si>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</si>
  <si>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</si>
  <si>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</si>
  <si>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</si>
  <si>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</si>
  <si>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</si>
  <si>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</si>
  <si>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</si>
  <si>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</si>
  <si>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</si>
  <si>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</si>
  <si>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</si>
  <si>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</si>
  <si>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</si>
  <si>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</si>
  <si>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</si>
  <si>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</si>
  <si>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</si>
  <si>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</si>
  <si>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</si>
  <si>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</si>
  <si>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</si>
  <si>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</si>
  <si>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</si>
  <si>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</si>
  <si>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</si>
  <si>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</si>
  <si>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</si>
  <si>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</si>
  <si>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</si>
  <si>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</si>
  <si>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</si>
  <si>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</si>
  <si>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</si>
  <si>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</si>
  <si>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</si>
  <si>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</si>
  <si>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</si>
  <si>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</si>
  <si>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</si>
  <si>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</si>
  <si>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</si>
  <si>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</si>
  <si>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</si>
  <si>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</si>
  <si>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</si>
  <si>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</si>
  <si>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</si>
  <si>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</si>
  <si>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</si>
  <si>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</si>
  <si>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</si>
  <si>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</si>
  <si>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</si>
  <si>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</si>
  <si>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</si>
  <si>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</si>
  <si>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</si>
  <si>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</si>
  <si>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</si>
  <si>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</si>
  <si>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</si>
  <si>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</si>
  <si>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</si>
  <si>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</si>
  <si>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</si>
  <si>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</si>
  <si>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</si>
  <si>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</si>
  <si>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</si>
  <si>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</si>
  <si>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</si>
  <si>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</si>
  <si>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</si>
  <si>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</si>
  <si>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</si>
  <si>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</si>
  <si>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</si>
  <si>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</si>
  <si>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</si>
  <si>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</si>
  <si>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</si>
  <si>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</si>
  <si>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</si>
  <si>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</si>
  <si>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</si>
  <si>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</si>
  <si>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</si>
  <si>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</si>
  <si>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</si>
  <si>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</si>
  <si>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</si>
  <si>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</si>
  <si>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</si>
  <si>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</si>
  <si>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</si>
  <si>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</si>
  <si>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</si>
  <si>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</si>
  <si>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</si>
  <si>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</si>
  <si>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</si>
  <si>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</si>
  <si>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</si>
  <si>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</si>
  <si>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</si>
  <si>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</si>
  <si>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</si>
  <si>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</si>
  <si>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</si>
  <si>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</si>
  <si>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</si>
  <si>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</si>
  <si>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</si>
  <si>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</si>
  <si>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</si>
  <si>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</si>
  <si>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</si>
  <si>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</si>
  <si>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</si>
  <si>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</si>
  <si>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</si>
  <si>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</si>
  <si>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</si>
  <si>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</si>
  <si>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</si>
  <si>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</si>
  <si>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</si>
  <si>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</si>
  <si>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</si>
  <si>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</si>
  <si>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</si>
  <si>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</si>
  <si>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</si>
  <si>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</si>
  <si>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</si>
  <si>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</si>
  <si>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</si>
  <si>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</si>
  <si>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</si>
  <si>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</si>
  <si>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</si>
  <si>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</si>
  <si>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</si>
  <si>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</si>
  <si>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</si>
  <si>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</si>
  <si>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</si>
  <si>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</si>
  <si>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</si>
  <si>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</si>
  <si>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</si>
  <si>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</si>
  <si>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</si>
  <si>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</si>
  <si>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</si>
  <si>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</si>
  <si>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</si>
  <si>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</si>
  <si>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</si>
  <si>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</si>
  <si>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</si>
  <si>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</si>
  <si>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</si>
  <si>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</si>
  <si>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</si>
  <si>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</si>
  <si>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</si>
  <si>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</si>
  <si>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</si>
  <si>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</si>
  <si>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</si>
  <si>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</si>
  <si>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</si>
  <si>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</si>
  <si>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</si>
  <si>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</si>
  <si>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</si>
  <si>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</si>
  <si>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</si>
  <si>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</si>
  <si>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</si>
  <si>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</si>
  <si>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</si>
  <si>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</si>
  <si>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</si>
  <si>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</si>
  <si>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</si>
  <si>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</si>
  <si>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</si>
  <si>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</si>
  <si>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</si>
  <si>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</si>
  <si>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</si>
  <si>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</si>
  <si>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</si>
  <si>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</si>
  <si>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</si>
  <si>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</si>
  <si>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</si>
  <si>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</si>
  <si>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</si>
  <si>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</si>
  <si>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</si>
  <si>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</si>
  <si>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</si>
  <si>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</si>
  <si>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</si>
  <si>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</si>
  <si>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</si>
  <si>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</si>
  <si>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</si>
  <si>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</si>
  <si>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</si>
  <si>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</si>
  <si>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</si>
  <si>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</si>
  <si>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</si>
  <si>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</si>
  <si>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</si>
  <si>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</si>
  <si>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</si>
  <si>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</si>
  <si>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</si>
  <si>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</si>
  <si>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</si>
  <si>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</si>
  <si>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</si>
  <si>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</si>
  <si>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</si>
  <si>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</si>
  <si>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</si>
  <si>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</si>
  <si>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</si>
  <si>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</si>
  <si>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</si>
  <si>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</si>
  <si>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</si>
  <si>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</si>
  <si>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</si>
  <si>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</si>
  <si>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</si>
  <si>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</si>
  <si>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</si>
  <si>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</si>
  <si>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</si>
  <si>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</si>
  <si>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</si>
  <si>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</si>
  <si>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</si>
  <si>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</si>
  <si>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</si>
  <si>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</si>
  <si>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</si>
  <si>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</si>
  <si>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</si>
  <si>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</si>
  <si>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</si>
  <si>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</si>
  <si>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</si>
  <si>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</si>
  <si>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</si>
  <si>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</si>
  <si>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</si>
  <si>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</si>
  <si>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</si>
  <si>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</si>
  <si>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</si>
  <si>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</si>
  <si>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</si>
  <si>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</si>
  <si>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</si>
  <si>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</si>
  <si>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</si>
  <si>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</si>
  <si>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</si>
  <si>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</si>
  <si>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</si>
  <si>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</si>
  <si>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</si>
  <si>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</si>
  <si>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</si>
  <si>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</si>
  <si>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</si>
  <si>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</si>
  <si>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</si>
  <si>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</si>
  <si>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</si>
  <si>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</si>
  <si>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</si>
  <si>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</si>
  <si>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</si>
  <si>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</si>
  <si>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</si>
  <si>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</si>
  <si>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</si>
  <si>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</si>
  <si>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</si>
  <si>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</si>
  <si>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</si>
  <si>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</si>
  <si>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</si>
  <si>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</si>
  <si>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</si>
  <si>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</si>
  <si>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</si>
  <si>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</si>
  <si>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</si>
  <si>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</si>
  <si>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</si>
  <si>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</si>
  <si>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</si>
  <si>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</si>
  <si>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</si>
  <si>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</si>
  <si>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</si>
  <si>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</si>
  <si>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</si>
  <si>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</si>
  <si>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</si>
  <si>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</si>
  <si>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</si>
  <si>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</si>
  <si>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</si>
  <si>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</si>
  <si>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</si>
  <si>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</si>
  <si>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</si>
  <si>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</si>
  <si>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</si>
  <si>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</si>
  <si>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</si>
  <si>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</si>
  <si>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</si>
  <si>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</si>
  <si>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</si>
  <si>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</si>
  <si>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</si>
  <si>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</si>
  <si>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</si>
  <si>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</si>
  <si>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</si>
  <si>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</si>
  <si>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</si>
  <si>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</si>
  <si>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</si>
  <si>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</si>
  <si>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</si>
  <si>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</si>
  <si>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</si>
  <si>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</si>
  <si>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</si>
  <si>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</si>
  <si>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</si>
  <si>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</si>
  <si>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</si>
  <si>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</si>
  <si>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</si>
  <si>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</si>
  <si>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</si>
  <si>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</si>
  <si>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</si>
  <si>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</si>
  <si>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</si>
  <si>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</si>
  <si>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</si>
  <si>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</si>
  <si>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</si>
  <si>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</si>
  <si>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</si>
  <si>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</si>
  <si>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</si>
  <si>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</si>
  <si>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</si>
  <si>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</si>
  <si>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</si>
  <si>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</si>
  <si>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</si>
  <si>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</si>
  <si>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</si>
  <si>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</si>
  <si>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</si>
  <si>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</si>
  <si>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</si>
  <si>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</si>
  <si>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</si>
  <si>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</si>
  <si>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</si>
  <si>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</si>
  <si>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</si>
  <si>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</si>
  <si>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</si>
  <si>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</si>
  <si>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</si>
  <si>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</si>
  <si>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</si>
  <si>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</si>
  <si>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</si>
  <si>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</si>
  <si>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</si>
  <si>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</si>
  <si>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</si>
  <si>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</si>
  <si>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</si>
  <si>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</si>
  <si>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</si>
  <si>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</si>
  <si>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</si>
  <si>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</si>
  <si>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</si>
  <si>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</si>
  <si>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</si>
  <si>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</si>
  <si>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</si>
  <si>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</si>
  <si>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</si>
  <si>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</si>
  <si>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</si>
  <si>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</si>
  <si>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</si>
  <si>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</si>
  <si>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</si>
  <si>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</si>
  <si>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</si>
  <si>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</si>
  <si>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</si>
  <si>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</si>
  <si>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</si>
  <si>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</si>
  <si>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</si>
  <si>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</si>
  <si>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</si>
  <si>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</si>
  <si>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</si>
  <si>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</si>
  <si>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</si>
  <si>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</si>
  <si>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</si>
  <si>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</si>
  <si>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</si>
  <si>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</si>
  <si>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</si>
  <si>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</si>
  <si>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</si>
  <si>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</si>
  <si>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</si>
  <si>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</si>
  <si>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</si>
  <si>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</si>
  <si>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</si>
  <si>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</si>
  <si>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</si>
  <si>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</si>
  <si>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</si>
  <si>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</si>
  <si>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</si>
  <si>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</si>
  <si>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</si>
  <si>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</si>
  <si>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</si>
  <si>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</si>
  <si>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</si>
  <si>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</si>
  <si>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</si>
  <si>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</si>
  <si>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</si>
  <si>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</si>
  <si>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</si>
  <si>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</si>
  <si>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</si>
  <si>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</si>
  <si>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</si>
  <si>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</si>
  <si>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</si>
  <si>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</si>
  <si>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</si>
  <si>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</si>
  <si>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</si>
  <si>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</si>
  <si>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</si>
  <si>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</si>
  <si>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</si>
  <si>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</si>
  <si>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</si>
  <si>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</si>
  <si>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</si>
  <si>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</si>
  <si>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</si>
  <si>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</si>
  <si>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</si>
  <si>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</si>
  <si>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</si>
  <si>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</si>
  <si>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</si>
  <si>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</si>
  <si>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</si>
  <si>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</si>
  <si>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</si>
  <si>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</si>
  <si>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</si>
  <si>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</si>
  <si>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</si>
  <si>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</si>
  <si>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</si>
  <si>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</si>
  <si>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</si>
  <si>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</si>
  <si>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</si>
  <si>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</si>
  <si>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</si>
  <si>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</si>
  <si>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</si>
  <si>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</si>
  <si>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</si>
  <si>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</si>
  <si>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</si>
  <si>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</si>
  <si>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</si>
  <si>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</si>
  <si>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</si>
  <si>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</si>
  <si>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</si>
  <si>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</si>
  <si>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</si>
  <si>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</si>
  <si>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</si>
  <si>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</si>
  <si>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</si>
  <si>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</si>
  <si>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</si>
  <si>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</si>
  <si>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</si>
  <si>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</si>
  <si>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</si>
  <si>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</si>
  <si>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</si>
  <si>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</si>
  <si>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</si>
  <si>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</si>
  <si>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</si>
  <si>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</si>
  <si>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</si>
  <si>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</si>
  <si>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</si>
  <si>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</si>
  <si>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</si>
  <si>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</si>
  <si>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</si>
  <si>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</si>
  <si>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</si>
  <si>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</si>
  <si>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</si>
  <si>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</si>
  <si>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</si>
  <si>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</si>
  <si>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</si>
  <si>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</si>
  <si>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</si>
  <si>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</si>
  <si>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</si>
  <si>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</si>
  <si>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</si>
  <si>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</si>
  <si>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</si>
  <si>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</si>
  <si>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</si>
  <si>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</si>
  <si>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</si>
  <si>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</si>
  <si>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</si>
  <si>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</si>
  <si>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</si>
  <si>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</si>
  <si>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</si>
  <si>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</si>
  <si>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</si>
  <si>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</si>
  <si>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</si>
  <si>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</si>
  <si>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</si>
  <si>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</si>
  <si>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</si>
  <si>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</si>
  <si>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</si>
  <si>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</si>
  <si>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</si>
  <si>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</si>
  <si>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</si>
  <si>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</si>
  <si>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</si>
  <si>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</si>
  <si>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</si>
  <si>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</si>
  <si>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</si>
  <si>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</si>
  <si>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</si>
  <si>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</si>
  <si>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</si>
  <si>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</si>
  <si>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</si>
  <si>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</si>
  <si>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</si>
  <si>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</si>
  <si>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</si>
  <si>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</si>
  <si>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</si>
  <si>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</si>
  <si>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</si>
  <si>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</si>
  <si>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</si>
  <si>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</si>
  <si>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</si>
  <si>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</si>
  <si>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</si>
  <si>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</si>
  <si>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</si>
  <si>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</si>
  <si>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</si>
  <si>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</si>
  <si>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</si>
  <si>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</si>
  <si>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</si>
  <si>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</si>
  <si>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</si>
  <si>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</si>
  <si>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</si>
  <si>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</si>
  <si>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</si>
  <si>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</si>
  <si>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</si>
  <si>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</si>
  <si>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</si>
  <si>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</si>
  <si>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</si>
  <si>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</si>
  <si>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</si>
  <si>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</si>
  <si>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</si>
  <si>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</si>
  <si>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</si>
  <si>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</si>
  <si>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</si>
  <si>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</si>
  <si>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</si>
  <si>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</si>
  <si>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</si>
  <si>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</si>
  <si>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</si>
  <si>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</si>
  <si>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</si>
  <si>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</si>
  <si>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</si>
  <si>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</si>
  <si>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</si>
  <si>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</si>
  <si>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</si>
  <si>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</si>
  <si>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</si>
  <si>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</si>
  <si>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</si>
  <si>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</si>
  <si>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</si>
  <si>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</si>
  <si>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</si>
  <si>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</si>
  <si>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</si>
  <si>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</si>
  <si>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</si>
  <si>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</si>
  <si>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</si>
  <si>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</si>
  <si>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</si>
  <si>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</si>
  <si>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</si>
  <si>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</si>
  <si>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</si>
  <si>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</si>
  <si>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</si>
  <si>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</si>
  <si>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</si>
  <si>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</si>
  <si>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</si>
  <si>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</si>
  <si>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</si>
  <si>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</si>
  <si>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</si>
  <si>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</si>
  <si>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</si>
  <si>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</si>
  <si>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</si>
  <si>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</si>
  <si>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</si>
  <si>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</si>
  <si>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</si>
  <si>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</si>
  <si>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</si>
  <si>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</si>
  <si>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</si>
  <si>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</si>
  <si>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</si>
  <si>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</si>
  <si>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</si>
  <si>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</si>
  <si>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</si>
  <si>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</si>
  <si>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</si>
  <si>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</si>
  <si>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</si>
  <si>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</si>
  <si>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</si>
  <si>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</si>
  <si>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</si>
  <si>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</si>
  <si>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</si>
  <si>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</si>
  <si>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</si>
  <si>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</si>
  <si>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</si>
  <si>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</si>
  <si>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</si>
  <si>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</si>
  <si>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</si>
  <si>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</si>
  <si>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</si>
  <si>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</si>
  <si>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</si>
  <si>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</si>
  <si>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</si>
  <si>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</si>
  <si>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</si>
  <si>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</si>
  <si>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</si>
  <si>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</si>
  <si>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</si>
  <si>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</si>
  <si>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</si>
  <si>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</si>
  <si>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</si>
  <si>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</si>
  <si>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</si>
  <si>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</si>
  <si>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</si>
  <si>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</si>
  <si>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</si>
  <si>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</si>
  <si>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</si>
  <si>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</si>
  <si>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</si>
  <si>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</si>
  <si>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</si>
  <si>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</si>
  <si>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</si>
  <si>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</si>
  <si>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</si>
  <si>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</si>
  <si>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</si>
  <si>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</si>
  <si>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</si>
  <si>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</si>
  <si>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</si>
  <si>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</si>
  <si>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</si>
  <si>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</si>
  <si>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</si>
  <si>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</si>
  <si>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</si>
  <si>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</si>
  <si>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</si>
  <si>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</si>
  <si>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</si>
  <si>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</si>
  <si>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</si>
  <si>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</si>
  <si>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</si>
  <si>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</si>
  <si>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</si>
  <si>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</si>
  <si>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</si>
  <si>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</si>
  <si>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</si>
  <si>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</si>
  <si>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</si>
  <si>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</si>
  <si>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</si>
  <si>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</si>
  <si>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</si>
  <si>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</si>
  <si>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</si>
  <si>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</si>
  <si>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</si>
  <si>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</si>
  <si>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</si>
  <si>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</si>
  <si>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</si>
  <si>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</si>
  <si>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</si>
  <si>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</si>
  <si>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</si>
  <si>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</si>
  <si>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</si>
  <si>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</si>
  <si>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</si>
  <si>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</si>
  <si>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</si>
  <si>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</si>
  <si>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</si>
  <si>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</si>
  <si>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</si>
  <si>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</si>
  <si>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</si>
  <si>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</si>
  <si>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</si>
  <si>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</si>
  <si>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</si>
  <si>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</si>
  <si>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</si>
  <si>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</si>
  <si>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</si>
  <si>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</si>
  <si>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</si>
  <si>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</si>
  <si>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</si>
  <si>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</si>
  <si>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</si>
  <si>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</si>
  <si>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</si>
  <si>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</si>
  <si>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</si>
  <si>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</si>
  <si>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</si>
  <si>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</si>
  <si>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</si>
  <si>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</si>
  <si>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</si>
  <si>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</si>
  <si>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</si>
  <si>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</si>
  <si>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</si>
  <si>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</si>
  <si>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</si>
  <si>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</si>
  <si>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</si>
  <si>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</si>
  <si>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</si>
  <si>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</si>
  <si>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</si>
  <si>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</si>
  <si>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</si>
  <si>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</si>
  <si>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</si>
  <si>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</si>
  <si>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</si>
  <si>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</si>
  <si>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</si>
  <si>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</si>
  <si>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</si>
  <si>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</si>
  <si>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</si>
  <si>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</si>
  <si>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</si>
  <si>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</si>
  <si>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</si>
  <si>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</si>
  <si>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</si>
  <si>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</si>
  <si>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</si>
  <si>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</si>
  <si>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</si>
  <si>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</si>
  <si>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</si>
  <si>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</si>
  <si>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</si>
  <si>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</si>
  <si>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</si>
  <si>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</si>
  <si>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</si>
  <si>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</si>
  <si>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</si>
  <si>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</si>
  <si>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</si>
  <si>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</si>
  <si>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</si>
  <si>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</si>
  <si>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</si>
  <si>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</si>
  <si>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</si>
  <si>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</si>
  <si>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</si>
  <si>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</si>
  <si>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</si>
  <si>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</si>
  <si>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</si>
  <si>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</si>
  <si>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</si>
  <si>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</si>
  <si>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</si>
  <si>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</si>
  <si>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</si>
  <si>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</si>
  <si>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</si>
  <si>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</si>
  <si>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</si>
  <si>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</si>
  <si>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</si>
  <si>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</si>
  <si>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</si>
  <si>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</si>
  <si>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</si>
  <si>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</si>
  <si>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</si>
  <si>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</si>
  <si>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</si>
  <si>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</si>
  <si>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</si>
  <si>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</si>
  <si>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</si>
  <si>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</si>
  <si>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</si>
  <si>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</si>
  <si>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</si>
  <si>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</si>
  <si>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</si>
  <si>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</si>
  <si>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</si>
  <si>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</si>
  <si>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</si>
  <si>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</si>
  <si>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</si>
  <si>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</si>
  <si>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</si>
  <si>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</si>
  <si>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</si>
  <si>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</si>
  <si>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</si>
  <si>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</si>
  <si>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</si>
  <si>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</si>
  <si>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</si>
  <si>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</si>
  <si>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</si>
  <si>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</si>
  <si>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</si>
  <si>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</si>
  <si>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</si>
  <si>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</si>
  <si>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</si>
  <si>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</si>
  <si>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</si>
  <si>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</si>
  <si>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</si>
  <si>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</si>
  <si>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</si>
  <si>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</si>
  <si>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</si>
  <si>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</si>
  <si>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</si>
  <si>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</si>
  <si>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</si>
  <si>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</si>
  <si>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</si>
  <si>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</si>
  <si>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</si>
  <si>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</si>
  <si>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</si>
  <si>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</si>
  <si>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</si>
  <si>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</si>
  <si>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</si>
  <si>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</si>
  <si>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</si>
  <si>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</si>
  <si>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</si>
  <si>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</si>
  <si>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</si>
  <si>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</si>
  <si>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</si>
  <si>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</si>
  <si>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</si>
  <si>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</si>
  <si>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</si>
  <si>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</si>
  <si>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</si>
  <si>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</si>
  <si>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</si>
  <si>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</si>
  <si>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</si>
  <si>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</si>
  <si>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</si>
  <si>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</si>
  <si>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</si>
  <si>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</si>
  <si>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</si>
  <si>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</si>
  <si>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</si>
  <si>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</si>
  <si>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</si>
  <si>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</si>
  <si>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</si>
  <si>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</si>
  <si>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</si>
  <si>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</si>
  <si>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</si>
  <si>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</si>
  <si>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</si>
  <si>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</si>
  <si>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</si>
  <si>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</si>
  <si>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</si>
  <si>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</si>
  <si>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</si>
  <si>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</si>
  <si>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</si>
  <si>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</si>
  <si>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</si>
  <si>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</si>
  <si>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</si>
  <si>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</si>
  <si>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</si>
  <si>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</si>
  <si>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</si>
  <si>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</si>
  <si>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</si>
  <si>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</si>
  <si>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</si>
  <si>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</si>
  <si>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</si>
  <si>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</si>
  <si>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</si>
  <si>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</si>
  <si>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</si>
  <si>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</si>
  <si>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</si>
  <si>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</si>
  <si>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</si>
  <si>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</si>
  <si>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</si>
  <si>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</si>
  <si>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</si>
  <si>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</si>
  <si>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</si>
  <si>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</si>
  <si>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</si>
  <si>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</si>
  <si>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</si>
  <si>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</si>
  <si>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</si>
  <si>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</si>
  <si>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</si>
  <si>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</si>
  <si>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</si>
  <si>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</si>
  <si>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</si>
  <si>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</si>
  <si>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</si>
  <si>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</si>
  <si>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</si>
  <si>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</si>
  <si>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</si>
  <si>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</si>
  <si>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</si>
  <si>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</si>
  <si>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</si>
  <si>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</si>
  <si>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</si>
  <si>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</si>
  <si>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</si>
  <si>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</si>
  <si>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</si>
  <si>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</si>
  <si>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</si>
  <si>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</si>
  <si>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</si>
  <si>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</si>
  <si>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</si>
  <si>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</si>
  <si>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</si>
  <si>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</si>
  <si>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</si>
  <si>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</si>
  <si>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</si>
  <si>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</si>
  <si>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</si>
  <si>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</si>
  <si>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</si>
  <si>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</si>
  <si>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</si>
  <si>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</si>
  <si>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</si>
  <si>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</si>
  <si>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</si>
  <si>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</si>
  <si>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</si>
  <si>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</si>
  <si>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</si>
  <si>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</si>
  <si>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</si>
  <si>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</si>
  <si>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</si>
  <si>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</si>
  <si>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</si>
  <si>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</si>
  <si>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</si>
  <si>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</si>
  <si>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</si>
  <si>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</si>
  <si>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</si>
  <si>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</si>
  <si>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</si>
  <si>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</si>
  <si>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</si>
  <si>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</si>
  <si>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</si>
  <si>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</si>
  <si>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</si>
  <si>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</si>
  <si>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</si>
  <si>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</si>
  <si>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</si>
  <si>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</si>
  <si>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</si>
  <si>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</si>
  <si>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</si>
  <si>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</si>
  <si>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</si>
  <si>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</si>
  <si>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</si>
  <si>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</si>
  <si>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</si>
  <si>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</si>
  <si>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</si>
  <si>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</si>
  <si>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</si>
  <si>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</si>
  <si>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</si>
  <si>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</si>
  <si>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</si>
  <si>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</si>
  <si>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</si>
  <si>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</si>
  <si>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</si>
  <si>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</si>
  <si>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</si>
  <si>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</si>
  <si>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</si>
  <si>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</si>
  <si>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</si>
  <si>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</si>
  <si>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</si>
  <si>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</si>
  <si>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</si>
  <si>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</si>
  <si>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</si>
  <si>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</si>
  <si>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</si>
  <si>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</si>
  <si>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</si>
  <si>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</si>
  <si>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</si>
  <si>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</si>
  <si>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</si>
  <si>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</si>
  <si>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</si>
  <si>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</si>
  <si>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</si>
  <si>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</si>
  <si>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</si>
  <si>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</si>
  <si>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</si>
  <si>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</si>
  <si>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</si>
  <si>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</si>
  <si>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</si>
  <si>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</si>
  <si>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</si>
  <si>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</si>
  <si>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</si>
  <si>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</si>
  <si>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</si>
  <si>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</si>
  <si>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</si>
  <si>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</si>
  <si>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</si>
  <si>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</si>
  <si>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</si>
  <si>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</si>
  <si>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</si>
  <si>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</si>
  <si>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</si>
  <si>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</si>
  <si>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</si>
  <si>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</si>
  <si>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</si>
  <si>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</si>
  <si>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</si>
  <si>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</si>
  <si>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</si>
  <si>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</si>
  <si>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</si>
  <si>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</si>
  <si>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</si>
  <si>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</si>
  <si>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</si>
  <si>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</si>
  <si>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</si>
  <si>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</si>
  <si>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</si>
  <si>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</si>
  <si>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</si>
  <si>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</si>
  <si>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</si>
  <si>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</si>
  <si>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</si>
  <si>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</si>
  <si>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</si>
  <si>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</si>
  <si>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</si>
  <si>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</si>
  <si>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</si>
  <si>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</si>
  <si>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</si>
  <si>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</si>
  <si>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</si>
  <si>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</si>
  <si>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</si>
  <si>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</si>
  <si>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</si>
  <si>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</si>
  <si>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</si>
  <si>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</si>
  <si>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</si>
  <si>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</si>
  <si>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</si>
  <si>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</si>
  <si>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</si>
  <si>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</si>
  <si>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</si>
  <si>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</si>
  <si>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</si>
  <si>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</si>
  <si>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</si>
  <si>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</si>
  <si>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</si>
  <si>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</si>
  <si>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</si>
  <si>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</si>
  <si>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</si>
  <si>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</si>
  <si>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</si>
  <si>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</si>
  <si>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</si>
  <si>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</si>
  <si>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</si>
  <si>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</si>
  <si>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</si>
  <si>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</si>
  <si>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</si>
  <si>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</si>
  <si>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</si>
  <si>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</si>
  <si>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</si>
  <si>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</si>
  <si>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</si>
  <si>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</si>
  <si>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</si>
  <si>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</si>
  <si>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</si>
  <si>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</si>
  <si>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</si>
  <si>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</si>
  <si>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</si>
  <si>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</si>
  <si>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</si>
  <si>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</si>
  <si>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</si>
  <si>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</si>
  <si>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</si>
  <si>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</si>
  <si>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</si>
  <si>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</si>
  <si>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</si>
  <si>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</si>
  <si>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</si>
  <si>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</si>
  <si>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</si>
  <si>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</si>
  <si>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</si>
  <si>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</si>
  <si>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</si>
  <si>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</si>
  <si>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</si>
  <si>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</si>
  <si>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</si>
  <si>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</si>
  <si>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</si>
  <si>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</si>
  <si>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</si>
  <si>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</si>
  <si>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</si>
  <si>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</si>
  <si>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</si>
  <si>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</si>
  <si>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</si>
  <si>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</si>
  <si>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</si>
  <si>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</si>
  <si>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</si>
  <si>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</si>
  <si>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</si>
  <si>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</si>
  <si>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</si>
  <si>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</si>
  <si>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</si>
  <si>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</si>
  <si>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</si>
  <si>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</si>
  <si>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</si>
  <si>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</si>
  <si>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</si>
  <si>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</si>
  <si>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</si>
  <si>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</si>
  <si>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</si>
  <si>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</si>
  <si>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</si>
  <si>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</si>
  <si>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</si>
  <si>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</si>
  <si>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</si>
  <si>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</si>
  <si>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</si>
  <si>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</si>
  <si>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</si>
  <si>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</si>
  <si>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</si>
  <si>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</si>
  <si>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</si>
  <si>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</si>
  <si>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</si>
  <si>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</si>
  <si>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</si>
  <si>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</si>
  <si>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</si>
  <si>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</si>
  <si>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</si>
  <si>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</si>
  <si>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</si>
  <si>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</si>
  <si>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</si>
  <si>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</si>
  <si>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</si>
  <si>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</si>
  <si>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</si>
  <si>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</si>
  <si>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</si>
  <si>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</si>
  <si>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</si>
  <si>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</si>
  <si>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</si>
  <si>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</si>
  <si>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</si>
  <si>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</si>
  <si>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</si>
  <si>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</si>
  <si>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</si>
  <si>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</si>
  <si>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</si>
  <si>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</si>
  <si>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</si>
  <si>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</si>
  <si>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</si>
  <si>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</si>
  <si>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</si>
  <si>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</si>
  <si>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</si>
  <si>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</si>
  <si>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</si>
  <si>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</si>
  <si>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</si>
  <si>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</si>
  <si>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</si>
  <si>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</si>
  <si>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</si>
  <si>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</si>
  <si>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</si>
  <si>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</si>
  <si>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</si>
  <si>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</si>
  <si>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</si>
  <si>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</si>
  <si>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</si>
  <si>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</si>
  <si>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</si>
  <si>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</si>
  <si>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</si>
  <si>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</si>
  <si>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</si>
  <si>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</si>
  <si>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</si>
  <si>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</si>
  <si>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</si>
  <si>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</si>
  <si>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</si>
  <si>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</si>
  <si>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</si>
  <si>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</si>
  <si>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</si>
  <si>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</si>
  <si>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</si>
  <si>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</si>
  <si>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</si>
  <si>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</si>
  <si>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</si>
  <si>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</si>
  <si>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</si>
  <si>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</si>
  <si>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</si>
  <si>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</si>
  <si>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</si>
  <si>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</si>
  <si>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</si>
  <si>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</si>
  <si>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</si>
  <si>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</si>
  <si>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</si>
  <si>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</si>
  <si>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</si>
  <si>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</si>
  <si>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</si>
  <si>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</si>
  <si>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</si>
  <si>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</si>
  <si>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</si>
  <si>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</si>
  <si>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</si>
  <si>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</si>
  <si>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</si>
  <si>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</si>
  <si>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</si>
  <si>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</si>
  <si>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</si>
  <si>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</si>
  <si>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</si>
  <si>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</si>
  <si>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</si>
  <si>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</si>
  <si>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</si>
  <si>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</si>
  <si>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</si>
  <si>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</si>
  <si>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</si>
  <si>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</si>
  <si>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</si>
  <si>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</si>
  <si>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</si>
  <si>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</si>
  <si>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</si>
  <si>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</si>
  <si>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</si>
  <si>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</si>
  <si>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</si>
  <si>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</si>
  <si>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</si>
  <si>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</si>
  <si>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</si>
  <si>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</si>
  <si>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</si>
  <si>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</si>
  <si>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</si>
  <si>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</si>
  <si>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</si>
  <si>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</si>
  <si>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</si>
  <si>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</si>
  <si>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</si>
  <si>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</si>
  <si>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</si>
  <si>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</si>
  <si>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</si>
  <si>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</si>
  <si>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</si>
  <si>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</si>
  <si>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</si>
  <si>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</si>
  <si>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</si>
  <si>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</si>
  <si>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</si>
  <si>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</si>
  <si>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</si>
  <si>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</si>
  <si>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</si>
  <si>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</si>
  <si>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</si>
  <si>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</si>
  <si>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</si>
  <si>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</si>
  <si>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</si>
  <si>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</si>
  <si>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</si>
  <si>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</si>
  <si>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</si>
  <si>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</si>
  <si>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</si>
  <si>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</si>
  <si>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</si>
  <si>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</si>
  <si>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</si>
  <si>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</si>
  <si>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</si>
  <si>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</si>
  <si>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</si>
  <si>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</si>
  <si>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</si>
  <si>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</si>
  <si>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</si>
  <si>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</si>
  <si>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</si>
  <si>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</si>
  <si>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</si>
  <si>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</si>
  <si>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</si>
  <si>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</si>
  <si>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</si>
  <si>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</si>
  <si>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</si>
  <si>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</si>
  <si>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</si>
  <si>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</si>
  <si>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</si>
  <si>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</si>
  <si>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</si>
  <si>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</si>
  <si>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</si>
  <si>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</si>
  <si>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</si>
  <si>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</si>
  <si>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</si>
  <si>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</si>
  <si>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</si>
  <si>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</si>
  <si>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</si>
  <si>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</si>
  <si>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</si>
  <si>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</si>
  <si>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</si>
  <si>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</si>
  <si>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</si>
  <si>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</si>
  <si>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</si>
  <si>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</si>
  <si>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</si>
  <si>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</si>
  <si>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</si>
  <si>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</si>
  <si>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</si>
  <si>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</si>
  <si>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</si>
  <si>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</si>
  <si>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</si>
  <si>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</si>
  <si>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</si>
  <si>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</si>
  <si>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</si>
  <si>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</si>
  <si>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</si>
  <si>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</si>
  <si>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</si>
  <si>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</si>
  <si>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</si>
  <si>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</si>
  <si>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</si>
  <si>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</si>
  <si>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</si>
  <si>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</si>
  <si>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</si>
  <si>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</si>
  <si>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</si>
  <si>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</si>
  <si>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</si>
  <si>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</si>
  <si>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</si>
  <si>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</si>
  <si>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</si>
  <si>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</si>
  <si>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</si>
  <si>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</si>
  <si>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</si>
  <si>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</si>
  <si>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</si>
  <si>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</si>
  <si>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</si>
  <si>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</si>
  <si>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</si>
  <si>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</si>
  <si>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</si>
  <si>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</si>
  <si>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</si>
  <si>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</si>
  <si>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</si>
  <si>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</si>
  <si>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</si>
  <si>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</si>
  <si>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</si>
  <si>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</si>
  <si>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</si>
  <si>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</si>
  <si>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</si>
  <si>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</si>
  <si>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</si>
  <si>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</si>
  <si>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</si>
  <si>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</si>
  <si>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</si>
  <si>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</si>
  <si>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</si>
  <si>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</si>
  <si>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</si>
  <si>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</si>
  <si>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</si>
  <si>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</si>
  <si>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</si>
  <si>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</si>
  <si>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</si>
  <si>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</si>
  <si>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</si>
  <si>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</si>
  <si>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</si>
  <si>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</si>
  <si>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</si>
  <si>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</si>
  <si>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</si>
  <si>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</si>
  <si>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</si>
  <si>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</si>
  <si>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</si>
  <si>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</si>
  <si>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</si>
  <si>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</si>
  <si>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</si>
  <si>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</si>
  <si>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</si>
  <si>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</si>
  <si>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</si>
  <si>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</si>
  <si>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</si>
  <si>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</si>
  <si>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</si>
  <si>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</si>
  <si>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</si>
  <si>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</si>
  <si>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</si>
  <si>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</si>
  <si>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</si>
  <si>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</si>
  <si>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</si>
  <si>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</si>
  <si>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</si>
  <si>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</si>
  <si>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</si>
  <si>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</si>
  <si>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</si>
  <si>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</si>
  <si>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</si>
  <si>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</si>
  <si>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</si>
  <si>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</si>
  <si>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</si>
  <si>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</si>
  <si>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</si>
  <si>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</si>
  <si>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</si>
  <si>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</si>
  <si>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</si>
  <si>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</si>
  <si>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</si>
  <si>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</si>
  <si>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</si>
  <si>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</si>
  <si>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</si>
  <si>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</si>
  <si>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</si>
  <si>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</si>
  <si>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</si>
  <si>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</si>
  <si>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</si>
  <si>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</si>
  <si>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</si>
  <si>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</si>
  <si>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</si>
  <si>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</si>
  <si>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</si>
  <si>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</si>
  <si>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</si>
  <si>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</si>
  <si>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</si>
  <si>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</si>
  <si>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</si>
  <si>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</si>
  <si>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</si>
  <si>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</si>
  <si>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</si>
  <si>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</si>
  <si>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</si>
  <si>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</si>
  <si>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</si>
  <si>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</si>
  <si>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</si>
  <si>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</si>
  <si>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</si>
  <si>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</si>
  <si>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</si>
  <si>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</si>
  <si>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</si>
  <si>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</si>
  <si>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</si>
  <si>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</si>
  <si>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</si>
  <si>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</si>
  <si>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</si>
  <si>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</si>
  <si>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</si>
  <si>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</si>
  <si>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</si>
  <si>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</si>
  <si>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</si>
  <si>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</si>
  <si>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</si>
  <si>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</si>
  <si>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</si>
  <si>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</si>
  <si>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</si>
  <si>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</si>
  <si>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</si>
  <si>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</si>
  <si>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</si>
  <si>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</si>
  <si>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</si>
  <si>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</si>
  <si>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</si>
  <si>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</si>
  <si>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</si>
  <si>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</si>
  <si>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</si>
  <si>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</si>
  <si>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</si>
  <si>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</si>
  <si>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</si>
  <si>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</si>
  <si>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</si>
  <si>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</si>
  <si>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</si>
  <si>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</si>
  <si>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</si>
  <si>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</si>
  <si>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</si>
  <si>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</si>
  <si>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</si>
  <si>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</si>
  <si>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</si>
  <si>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</si>
  <si>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</si>
  <si>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</si>
  <si>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</si>
  <si>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</si>
  <si>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</si>
  <si>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</si>
  <si>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</si>
  <si>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</si>
  <si>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</si>
  <si>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</si>
  <si>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</si>
  <si>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</si>
  <si>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</si>
  <si>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</si>
  <si>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</si>
  <si>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</si>
  <si>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</si>
  <si>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</si>
  <si>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</si>
  <si>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</si>
  <si>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</si>
  <si>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</si>
  <si>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</si>
  <si>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</si>
  <si>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</si>
  <si>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</si>
  <si>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</si>
  <si>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</si>
  <si>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</si>
  <si>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</si>
  <si>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</si>
  <si>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</si>
  <si>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</si>
  <si>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</si>
  <si>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</si>
  <si>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</si>
  <si>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</si>
  <si>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</si>
  <si>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</si>
  <si>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</si>
  <si>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</si>
  <si>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</si>
  <si>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</si>
  <si>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</si>
  <si>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</si>
  <si>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</si>
  <si>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</si>
  <si>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</si>
  <si>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</si>
  <si>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</si>
  <si>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</si>
  <si>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</si>
  <si>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</si>
  <si>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</si>
  <si>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</si>
  <si>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</si>
  <si>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</si>
  <si>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</si>
  <si>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</si>
  <si>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</si>
  <si>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</si>
  <si>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</si>
  <si>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</si>
  <si>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</si>
  <si>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</si>
  <si>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</si>
  <si>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</si>
  <si>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</si>
  <si>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</si>
  <si>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</si>
  <si>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</si>
  <si>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</si>
  <si>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</si>
  <si>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</si>
  <si>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</si>
  <si>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</si>
  <si>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</si>
  <si>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</si>
  <si>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</si>
  <si>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</si>
  <si>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</si>
  <si>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</si>
  <si>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</si>
  <si>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</si>
  <si>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</si>
  <si>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</si>
  <si>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</si>
  <si>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</si>
  <si>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</si>
  <si>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</si>
  <si>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</si>
  <si>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</si>
  <si>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</si>
  <si>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</si>
  <si>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</si>
  <si>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</si>
  <si>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</si>
  <si>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</si>
  <si>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</si>
  <si>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</si>
  <si>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</si>
  <si>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</si>
  <si>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</si>
  <si>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</si>
  <si>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</si>
  <si>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</si>
  <si>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</si>
  <si>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</si>
  <si>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</si>
  <si>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</si>
  <si>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</si>
  <si>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</si>
  <si>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</si>
  <si>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</si>
  <si>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</si>
  <si>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</si>
  <si>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</si>
  <si>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</si>
  <si>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</si>
  <si>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</si>
  <si>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</si>
  <si>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</si>
  <si>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</si>
  <si>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</si>
  <si>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</si>
  <si>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</si>
  <si>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</si>
  <si>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</si>
  <si>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</si>
  <si>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</si>
  <si>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</si>
  <si>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</si>
  <si>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</si>
  <si>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</si>
  <si>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</si>
  <si>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</si>
  <si>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</si>
  <si>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</si>
  <si>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</si>
  <si>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</si>
  <si>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</si>
  <si>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</si>
  <si>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</si>
  <si>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</si>
  <si>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</si>
  <si>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</si>
  <si>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</si>
  <si>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</si>
  <si>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</si>
  <si>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</si>
  <si>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</si>
  <si>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</si>
  <si>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</si>
  <si>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</si>
  <si>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</si>
  <si>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</si>
  <si>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</si>
  <si>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</si>
  <si>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</si>
  <si>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</si>
  <si>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</si>
  <si>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</si>
  <si>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</si>
  <si>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</si>
  <si>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</si>
  <si>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</si>
  <si>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</si>
  <si>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</si>
  <si>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</si>
  <si>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</si>
  <si>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</si>
  <si>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</si>
  <si>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</si>
  <si>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</si>
  <si>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</si>
  <si>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</si>
  <si>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</si>
  <si>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</si>
  <si>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</si>
  <si>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</si>
  <si>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</si>
  <si>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</si>
  <si>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</si>
  <si>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</si>
  <si>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</si>
  <si>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</si>
  <si>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</si>
  <si>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</si>
  <si>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</si>
  <si>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</si>
  <si>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</si>
  <si>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</si>
  <si>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</si>
  <si>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</si>
  <si>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</si>
  <si>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</si>
  <si>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</si>
  <si>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</si>
  <si>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</si>
  <si>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</si>
  <si>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</si>
  <si>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</si>
  <si>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</si>
  <si>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</si>
  <si>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</si>
  <si>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</si>
  <si>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</si>
  <si>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</si>
  <si>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</si>
  <si>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</si>
  <si>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</si>
  <si>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</si>
  <si>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</si>
  <si>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</si>
  <si>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</si>
  <si>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</si>
  <si>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</si>
  <si>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</si>
  <si>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</si>
  <si>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</si>
  <si>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</si>
  <si>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</si>
  <si>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</si>
  <si>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</si>
  <si>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</si>
  <si>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</si>
  <si>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</si>
  <si>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</si>
  <si>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</si>
  <si>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</si>
  <si>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</si>
  <si>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</si>
  <si>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</si>
  <si>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</si>
  <si>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</si>
  <si>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</si>
  <si>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</si>
  <si>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</si>
  <si>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</si>
  <si>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</si>
  <si>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</si>
  <si>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</si>
  <si>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</si>
  <si>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</si>
  <si>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</si>
  <si>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</si>
  <si>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</si>
  <si>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</si>
  <si>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</si>
  <si>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</si>
  <si>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</si>
  <si>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</si>
  <si>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</si>
  <si>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</si>
  <si>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</si>
  <si>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</si>
  <si>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</si>
  <si>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</si>
  <si>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</si>
  <si>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</si>
  <si>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</si>
  <si>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</si>
  <si>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</si>
  <si>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</si>
  <si>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</si>
  <si>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</si>
  <si>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</si>
  <si>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</si>
  <si>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</si>
  <si>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</si>
  <si>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</si>
  <si>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</si>
  <si>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</si>
  <si>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</si>
  <si>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</si>
  <si>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</si>
  <si>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</si>
  <si>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</si>
  <si>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</si>
  <si>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</si>
  <si>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</si>
  <si>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</si>
  <si>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</si>
  <si>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</si>
  <si>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</si>
  <si>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</si>
  <si>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</si>
  <si>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</si>
  <si>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</si>
  <si>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</si>
  <si>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</si>
  <si>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</si>
  <si>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</si>
  <si>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</si>
  <si>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</si>
  <si>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</si>
  <si>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</si>
  <si>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</si>
  <si>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</si>
  <si>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</si>
  <si>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</si>
  <si>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</si>
  <si>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</si>
  <si>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</si>
  <si>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</si>
  <si>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</si>
  <si>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</si>
  <si>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</si>
  <si>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</si>
  <si>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</si>
  <si>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</si>
  <si>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</si>
  <si>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</si>
  <si>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</si>
  <si>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</si>
  <si>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</si>
  <si>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</si>
  <si>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</si>
  <si>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</si>
  <si>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</si>
  <si>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</si>
  <si>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</si>
  <si>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</si>
  <si>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</si>
  <si>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</si>
  <si>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</si>
  <si>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</si>
  <si>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</si>
  <si>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</si>
  <si>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</si>
  <si>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</si>
  <si>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</si>
  <si>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</si>
  <si>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</si>
  <si>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</si>
  <si>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</si>
  <si>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</si>
  <si>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</si>
  <si>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</si>
  <si>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</si>
  <si>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</si>
  <si>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</si>
  <si>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</si>
  <si>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</si>
  <si>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</si>
  <si>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</si>
  <si>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</si>
  <si>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</si>
  <si>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</si>
  <si>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</si>
  <si>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</si>
  <si>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</si>
  <si>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</si>
  <si>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</si>
  <si>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</si>
  <si>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</si>
  <si>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</si>
  <si>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</si>
  <si>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</si>
  <si>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</si>
  <si>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</si>
  <si>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</si>
  <si>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</si>
  <si>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</si>
  <si>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</si>
  <si>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</si>
  <si>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</si>
  <si>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</si>
  <si>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</si>
  <si>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</si>
  <si>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</si>
  <si>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</si>
  <si>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</si>
  <si>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</si>
  <si>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</si>
  <si>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</si>
  <si>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</si>
  <si>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</si>
  <si>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</si>
  <si>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</si>
  <si>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</si>
  <si>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</si>
  <si>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</si>
  <si>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</si>
  <si>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</si>
  <si>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</si>
  <si>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</si>
  <si>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</si>
  <si>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</si>
  <si>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</si>
  <si>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</si>
  <si>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</si>
  <si>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</si>
  <si>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</si>
  <si>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</si>
  <si>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</si>
  <si>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</si>
  <si>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</si>
  <si>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</si>
  <si>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</si>
  <si>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</si>
  <si>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</si>
  <si>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</si>
  <si>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</si>
  <si>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</si>
  <si>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</si>
  <si>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</si>
  <si>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</si>
  <si>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</si>
  <si>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</si>
  <si>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</si>
  <si>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</si>
  <si>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</si>
  <si>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</si>
  <si>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</si>
  <si>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</si>
  <si>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</si>
  <si>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</si>
  <si>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</si>
  <si>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</si>
  <si>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</si>
  <si>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</si>
  <si>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</si>
  <si>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</si>
  <si>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</si>
  <si>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</si>
  <si>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</si>
  <si>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</si>
  <si>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</si>
  <si>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</si>
  <si>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</si>
  <si>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</si>
  <si>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</si>
  <si>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</si>
  <si>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</si>
  <si>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</si>
  <si>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</si>
  <si>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</si>
  <si>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</si>
  <si>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</si>
  <si>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</si>
  <si>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</si>
  <si>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</si>
  <si>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</si>
  <si>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</si>
  <si>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</si>
  <si>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</si>
  <si>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</si>
  <si>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</si>
  <si>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</si>
  <si>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</si>
  <si>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</si>
  <si>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</si>
  <si>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</si>
  <si>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</si>
  <si>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</si>
  <si>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</si>
  <si>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</si>
  <si>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</si>
  <si>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</si>
  <si>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</si>
  <si>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</si>
  <si>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</si>
  <si>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</si>
  <si>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</si>
  <si>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</si>
  <si>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</si>
  <si>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</si>
  <si>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</si>
  <si>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</si>
  <si>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</si>
  <si>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</si>
  <si>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</si>
  <si>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</si>
  <si>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</si>
  <si>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</si>
  <si>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</si>
  <si>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</si>
  <si>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</si>
  <si>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</si>
  <si>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</si>
  <si>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</si>
  <si>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</si>
  <si>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</si>
  <si>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</si>
  <si>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</si>
  <si>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</si>
  <si>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</si>
  <si>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</si>
  <si>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</si>
  <si>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</si>
  <si>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</si>
  <si>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</si>
  <si>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</si>
  <si>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</si>
  <si>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</si>
  <si>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</si>
  <si>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</si>
  <si>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</si>
  <si>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</si>
  <si>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</si>
  <si>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</si>
  <si>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</si>
  <si>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</si>
  <si>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</si>
  <si>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</si>
  <si>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</si>
  <si>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</si>
  <si>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</si>
  <si>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</si>
  <si>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</si>
  <si>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</si>
  <si>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</si>
  <si>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</si>
  <si>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</si>
  <si>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</si>
  <si>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</si>
  <si>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</si>
  <si>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</si>
  <si>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</si>
  <si>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</si>
  <si>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</si>
  <si>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</si>
  <si>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</si>
  <si>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</si>
  <si>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</si>
  <si>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</si>
  <si>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</si>
  <si>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</si>
  <si>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</si>
  <si>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</si>
  <si>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</si>
  <si>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</si>
  <si>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</si>
  <si>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</si>
  <si>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</si>
  <si>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</si>
  <si>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</si>
  <si>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</si>
  <si>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</si>
  <si>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</si>
  <si>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</si>
  <si>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</si>
  <si>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</si>
  <si>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</si>
  <si>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</si>
  <si>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</si>
  <si>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</si>
  <si>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</si>
  <si>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</si>
  <si>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</si>
  <si>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</si>
  <si>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</si>
  <si>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</si>
  <si>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</si>
  <si>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</si>
  <si>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</si>
  <si>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</si>
  <si>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</si>
  <si>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</si>
  <si>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</si>
  <si>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</si>
  <si>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</si>
  <si>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</si>
  <si>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</si>
  <si>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</si>
  <si>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</si>
  <si>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</si>
  <si>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</si>
  <si>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</si>
  <si>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</si>
  <si>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</si>
  <si>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</si>
  <si>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</si>
  <si>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</si>
  <si>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</si>
  <si>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</si>
  <si>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</si>
  <si>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</si>
  <si>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</si>
  <si>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</si>
  <si>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</si>
  <si>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</si>
  <si>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</si>
  <si>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</si>
  <si>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</si>
  <si>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</si>
  <si>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</si>
  <si>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</si>
  <si>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</si>
  <si>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</si>
  <si>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</si>
  <si>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</si>
  <si>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</si>
  <si>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</si>
  <si>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</si>
  <si>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</si>
  <si>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</si>
  <si>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</si>
  <si>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</si>
  <si>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</si>
  <si>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</si>
  <si>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</si>
  <si>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</si>
  <si>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</si>
  <si>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</si>
  <si>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</si>
  <si>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</si>
  <si>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</si>
  <si>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</si>
  <si>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</si>
  <si>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</si>
  <si>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</si>
  <si>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</si>
  <si>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</si>
  <si>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</si>
  <si>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</si>
  <si>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</si>
  <si>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</si>
  <si>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</si>
  <si>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</si>
  <si>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</si>
  <si>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</si>
  <si>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</si>
  <si>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</si>
  <si>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</si>
  <si>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</si>
  <si>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</si>
  <si>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</si>
  <si>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</si>
  <si>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</si>
  <si>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</si>
  <si>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</si>
  <si>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</si>
  <si>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</si>
  <si>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</si>
  <si>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</si>
  <si>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</si>
  <si>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</si>
  <si>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</si>
  <si>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</si>
  <si>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</si>
  <si>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</si>
  <si>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</si>
  <si>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</si>
  <si>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</si>
  <si>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</si>
  <si>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</si>
  <si>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</si>
  <si>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</si>
  <si>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</si>
  <si>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</si>
  <si>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</si>
  <si>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</si>
  <si>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</si>
  <si>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</si>
  <si>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</si>
  <si>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</si>
  <si>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</si>
  <si>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</si>
  <si>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</si>
  <si>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</si>
  <si>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</si>
  <si>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</si>
  <si>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</si>
  <si>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</si>
  <si>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</si>
  <si>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</si>
  <si>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</si>
  <si>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</si>
  <si>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</si>
  <si>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</si>
  <si>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</si>
  <si>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</si>
  <si>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</si>
  <si>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</si>
  <si>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</si>
  <si>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</si>
  <si>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</si>
  <si>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</si>
  <si>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</si>
  <si>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</si>
  <si>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</si>
  <si>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</si>
  <si>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</si>
  <si>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</si>
  <si>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</si>
  <si>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</si>
  <si>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</si>
  <si>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</si>
  <si>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</si>
  <si>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</si>
  <si>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</si>
  <si>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</si>
  <si>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</si>
  <si>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</si>
  <si>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</si>
  <si>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</si>
  <si>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</si>
  <si>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</si>
  <si>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</si>
  <si>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</si>
  <si>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</si>
  <si>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</si>
  <si>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</si>
  <si>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</si>
  <si>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</si>
  <si>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</si>
  <si>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</si>
  <si>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</si>
  <si>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</si>
  <si>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</si>
  <si>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</si>
  <si>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</si>
  <si>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</si>
  <si>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</si>
  <si>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</si>
  <si>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</si>
  <si>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</si>
  <si>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</si>
  <si>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</si>
  <si>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</si>
  <si>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</si>
  <si>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</si>
  <si>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</si>
  <si>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</si>
  <si>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</si>
  <si>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</si>
  <si>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</si>
  <si>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</si>
  <si>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</si>
  <si>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</si>
  <si>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</si>
  <si>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</si>
  <si>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</si>
  <si>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</si>
  <si>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</si>
  <si>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</si>
  <si>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</si>
  <si>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</si>
  <si>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</si>
  <si>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</si>
  <si>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</si>
  <si>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</si>
  <si>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</si>
  <si>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</si>
  <si>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</si>
  <si>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</si>
  <si>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</si>
  <si>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</si>
  <si>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</si>
  <si>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</si>
  <si>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</si>
  <si>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</si>
  <si>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</si>
  <si>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</si>
  <si>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</si>
  <si>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</si>
  <si>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</si>
  <si>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</si>
  <si>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</si>
  <si>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</si>
  <si>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</si>
  <si>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</si>
  <si>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</si>
  <si>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</si>
  <si>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</si>
  <si>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</si>
  <si>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</si>
  <si>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</si>
  <si>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</si>
  <si>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</si>
  <si>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</si>
  <si>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</si>
  <si>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</si>
  <si>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</si>
  <si>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</si>
  <si>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</si>
  <si>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</si>
  <si>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</si>
  <si>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</si>
  <si>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</si>
  <si>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</si>
  <si>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</si>
  <si>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</si>
  <si>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</si>
  <si>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</si>
  <si>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</si>
  <si>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</si>
  <si>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</si>
  <si>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</si>
  <si>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</si>
  <si>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</si>
  <si>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</si>
  <si>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</si>
  <si>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</si>
  <si>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</si>
  <si>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</si>
  <si>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</si>
  <si>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</si>
  <si>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</si>
  <si>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</si>
  <si>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</si>
  <si>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</si>
  <si>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</si>
  <si>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</si>
  <si>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</si>
  <si>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</si>
  <si>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</si>
  <si>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</si>
  <si>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</si>
  <si>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</si>
  <si>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</si>
  <si>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</si>
  <si>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</si>
  <si>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</si>
  <si>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</si>
  <si>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</si>
  <si>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</si>
  <si>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</si>
  <si>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</si>
  <si>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</si>
  <si>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</si>
  <si>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</si>
  <si>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</si>
  <si>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</si>
  <si>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</si>
  <si>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</si>
  <si>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</si>
  <si>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</si>
  <si>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</si>
  <si>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</si>
  <si>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</si>
  <si>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</si>
  <si>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</si>
  <si>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</si>
  <si>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</si>
  <si>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</si>
  <si>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</si>
  <si>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</si>
  <si>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</si>
  <si>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</si>
  <si>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</si>
  <si>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</si>
  <si>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</si>
  <si>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</si>
  <si>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</si>
  <si>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</si>
  <si>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</si>
  <si>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</si>
  <si>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</si>
  <si>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</si>
  <si>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</si>
  <si>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</si>
  <si>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</si>
  <si>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</si>
  <si>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</si>
  <si>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</si>
  <si>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</si>
  <si>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</si>
  <si>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</si>
  <si>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</si>
  <si>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</si>
  <si>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</si>
  <si>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</si>
  <si>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</si>
  <si>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</si>
  <si>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</si>
  <si>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</si>
  <si>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</si>
  <si>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</si>
  <si>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</si>
  <si>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</si>
  <si>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</si>
  <si>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</si>
  <si>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</si>
  <si>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</si>
  <si>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</si>
  <si>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</si>
  <si>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</si>
  <si>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(공동)(K_경전)(단)하동하남터널IB_LTROM_MI_D</t>
  </si>
  <si>
    <t>(공동)(K_경전)(단)하동하남터널IB_LTRO5_MI</t>
  </si>
  <si>
    <t>하동횡천3W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</si>
  <si>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</si>
  <si>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</si>
  <si>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</si>
  <si>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</si>
  <si>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</si>
  <si>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</si>
  <si>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</si>
  <si>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</si>
  <si>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</si>
  <si>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</si>
  <si>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</si>
  <si>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</si>
  <si>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</si>
  <si>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</si>
  <si>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</si>
  <si>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</si>
  <si>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</si>
  <si>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</si>
  <si>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</si>
  <si>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</si>
  <si>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</si>
  <si>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</si>
  <si>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</si>
  <si>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</si>
  <si>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</si>
  <si>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</si>
  <si>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</si>
  <si>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</si>
  <si>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</si>
  <si>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</si>
  <si>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</si>
  <si>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</si>
  <si>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</si>
  <si>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</si>
  <si>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</si>
  <si>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</si>
  <si>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</si>
  <si>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</si>
  <si>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</si>
  <si>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</si>
  <si>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</si>
  <si>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</si>
  <si>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</si>
  <si>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</si>
  <si>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</si>
  <si>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</si>
  <si>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</si>
  <si>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</si>
  <si>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</si>
  <si>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</si>
  <si>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</si>
  <si>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</si>
  <si>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</si>
  <si>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</si>
  <si>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</si>
  <si>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</si>
  <si>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</si>
  <si>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</si>
  <si>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</si>
  <si>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</si>
  <si>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</si>
  <si>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</si>
  <si>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</si>
  <si>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</si>
  <si>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</si>
  <si>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</si>
  <si>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</si>
  <si>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</si>
  <si>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</si>
  <si>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</si>
  <si>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</si>
  <si>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</si>
  <si>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</si>
  <si>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</si>
  <si>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</si>
  <si>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</si>
  <si>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</si>
  <si>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</si>
  <si>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</si>
  <si>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</si>
  <si>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</si>
  <si>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</si>
  <si>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</si>
  <si>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</si>
  <si>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</si>
  <si>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</si>
  <si>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</si>
  <si>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</si>
  <si>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</si>
  <si>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</si>
  <si>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</si>
  <si>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</si>
  <si>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</si>
  <si>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</si>
  <si>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</si>
  <si>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</si>
  <si>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</si>
  <si>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</si>
  <si>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</si>
  <si>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</si>
  <si>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</si>
  <si>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</si>
  <si>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</si>
  <si>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</si>
  <si>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</si>
  <si>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</si>
  <si>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</si>
  <si>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</si>
  <si>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</si>
  <si>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</si>
  <si>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</si>
  <si>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</si>
  <si>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</si>
  <si>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</si>
  <si>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</si>
  <si>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</si>
  <si>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</si>
  <si>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</si>
  <si>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</si>
  <si>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</si>
  <si>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</si>
  <si>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</si>
  <si>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</si>
  <si>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</si>
  <si>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</si>
  <si>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</si>
  <si>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</si>
  <si>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</si>
  <si>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</si>
  <si>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</si>
  <si>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</si>
  <si>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</si>
  <si>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</si>
  <si>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</si>
  <si>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</si>
  <si>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</si>
  <si>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</si>
  <si>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</si>
  <si>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</si>
  <si>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</si>
  <si>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</si>
  <si>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합천본곡2WIC</t>
  </si>
  <si>
    <t>합천장리W</t>
  </si>
  <si>
    <t>진주상평20LTRO_D</t>
  </si>
  <si>
    <t>진주상평20LTRO</t>
  </si>
  <si>
    <t>진주상대3W_감시회선용</t>
  </si>
  <si>
    <t>진주상평22LTRO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</si>
  <si>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</si>
  <si>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</si>
  <si>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</si>
  <si>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</si>
  <si>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</si>
  <si>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</si>
  <si>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</si>
  <si>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</si>
  <si>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</si>
  <si>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</si>
  <si>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</si>
  <si>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</si>
  <si>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</si>
  <si>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</si>
  <si>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</si>
  <si>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</si>
  <si>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</si>
  <si>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</si>
  <si>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2026-04-25 10:30:30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</si>
  <si>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</si>
  <si>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</si>
  <si>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</si>
  <si>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</si>
  <si>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</si>
  <si>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</si>
  <si>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</si>
  <si>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</si>
  <si>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</si>
  <si>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</si>
  <si>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</si>
  <si>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</si>
  <si>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</si>
  <si>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</si>
  <si>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</si>
  <si>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</si>
  <si>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</si>
  <si>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</si>
  <si>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</si>
  <si>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</si>
  <si>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</si>
  <si>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</si>
  <si>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</si>
  <si>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</si>
  <si>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</si>
  <si>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</si>
  <si>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</si>
  <si>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</si>
  <si>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</si>
  <si>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</si>
  <si>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</si>
  <si>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</si>
  <si>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</si>
  <si>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</si>
  <si>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</si>
  <si>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중계기종류</t>
  </si>
  <si>
    <t>WICS</t>
  </si>
  <si>
    <t>DUO-L(광)</t>
  </si>
  <si>
    <t>MiBOS</t>
  </si>
  <si>
    <t>HW Partial Fault</t>
    <phoneticPr fontId="2" type="noConversion"/>
  </si>
  <si>
    <t>200722289</t>
  </si>
  <si>
    <t>[캐][A]거창남상3</t>
  </si>
  <si>
    <t>2026-04-29 03:52:17</t>
  </si>
  <si>
    <t>200722293</t>
  </si>
  <si>
    <t>[캐][A]하동북천3</t>
  </si>
  <si>
    <t>2026-04-29 01:58:33</t>
  </si>
  <si>
    <t>2026-04-29 04:55:25</t>
  </si>
  <si>
    <t>2026-04-28 20:06:35</t>
  </si>
  <si>
    <t>202129413</t>
  </si>
  <si>
    <t>[외][A]산청거림계곡_ELG</t>
  </si>
  <si>
    <t>2026-04-28 23:38:45</t>
  </si>
  <si>
    <t>2026-04-28 17:36:42</t>
  </si>
  <si>
    <t>2026-04-28 18:24:56</t>
  </si>
  <si>
    <t>2026-04-28 21:26:44</t>
  </si>
  <si>
    <t>2026-04-28 20:49:46</t>
  </si>
  <si>
    <t>2026-04-28 20:41:55</t>
  </si>
  <si>
    <t>2026-04-28 23:29:12</t>
  </si>
  <si>
    <t>202129379</t>
  </si>
  <si>
    <t>[일][AM]진주지수_절약형</t>
  </si>
  <si>
    <t>2026-04-29 04:47:46</t>
  </si>
  <si>
    <t>2026-04-29 02:57:39</t>
  </si>
  <si>
    <t>정류기1호기 모듈9 이상</t>
  </si>
  <si>
    <t>2026-04-29 05:05:00</t>
  </si>
  <si>
    <t>2026-04-29 04:41:11</t>
  </si>
  <si>
    <t>202025750</t>
  </si>
  <si>
    <t>[캐][AM]하동화개</t>
  </si>
  <si>
    <t>2026-04-29 04:46:04</t>
  </si>
  <si>
    <t>2026-04-28 19:32:13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</si>
  <si>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</si>
  <si>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</si>
  <si>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</si>
  <si>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</si>
  <si>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</si>
  <si>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</si>
  <si>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</si>
  <si>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</si>
  <si>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2026-04-29 10:33:17</t>
  </si>
  <si>
    <t>(공동)합천손목PRU_1</t>
  </si>
  <si>
    <t>2026-04-29 10:28:58</t>
  </si>
  <si>
    <t>(공동)합천손목PRU_2</t>
  </si>
  <si>
    <t>2026-04-29 09:44:25</t>
  </si>
  <si>
    <t>신원면</t>
  </si>
  <si>
    <t>(공동)거창청수PRU_1</t>
  </si>
  <si>
    <t>Resource Activation Timeout</t>
  </si>
  <si>
    <t>FRU General Problem</t>
  </si>
  <si>
    <t>HW Partial Fault</t>
  </si>
  <si>
    <t>VSWR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</si>
</sst>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b/>
      <sz val="10"/>
      <color indexed="9"/>
      <name val="Calibri"/>
      <family val="2"/>
    </font>
    <font>
      <sz val="1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0" fillId="14" borderId="15" xfId="0" applyFont="1" applyFill="1" applyBorder="1" applyAlignment="1">
      <alignment horizontal="center" vertical="center"/>
    </xf>
    <xf numFmtId="0" fontId="21" fillId="0" borderId="14" xfId="0" applyFont="1" applyBorder="1">
      <alignment vertical="center"/>
    </xf>
  </cellXfs>
  <cellStyles count="2">
    <cellStyle name="백분율" xfId="1" builtinId="5"/>
    <cellStyle name="표준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2" t="s">
        <v>3315</v>
      </c>
      <c r="C3" s="113"/>
      <c r="D3" s="83" t="s">
        <v>3316</v>
      </c>
      <c r="E3" s="83" t="s">
        <v>3317</v>
      </c>
      <c r="F3" s="83" t="s">
        <v>3318</v>
      </c>
      <c r="G3" s="84">
        <v>45946</v>
      </c>
      <c r="H3" s="84">
        <v>45947</v>
      </c>
      <c r="I3" s="84">
        <v>45950</v>
      </c>
      <c r="J3" s="84">
        <v>45951</v>
      </c>
      <c r="K3" s="84">
        <v>45952</v>
      </c>
      <c r="L3" s="84">
        <v>45953</v>
      </c>
      <c r="M3" s="84">
        <v>45954</v>
      </c>
      <c r="N3" s="84">
        <v>45957</v>
      </c>
      <c r="O3" s="84">
        <v>45958</v>
      </c>
      <c r="P3" s="84">
        <v>45959</v>
      </c>
      <c r="Q3" s="84">
        <v>45960</v>
      </c>
      <c r="R3" s="84">
        <v>45961</v>
      </c>
      <c r="S3" s="84">
        <v>45964</v>
      </c>
      <c r="T3" s="84">
        <v>45965</v>
      </c>
      <c r="U3" s="84">
        <v>45971</v>
      </c>
      <c r="V3" s="84">
        <v>45973</v>
      </c>
      <c r="W3" s="84">
        <v>45974</v>
      </c>
      <c r="X3" s="84">
        <v>45975</v>
      </c>
      <c r="Y3" s="84">
        <v>45978</v>
      </c>
      <c r="Z3" s="84">
        <v>45979</v>
      </c>
      <c r="AA3" s="84">
        <v>45980</v>
      </c>
      <c r="AB3" s="84">
        <v>45981</v>
      </c>
      <c r="AC3" s="84">
        <v>45982</v>
      </c>
      <c r="AD3" s="84">
        <v>45985</v>
      </c>
      <c r="AE3" s="84">
        <v>45986</v>
      </c>
      <c r="AF3" s="84">
        <v>45987</v>
      </c>
      <c r="AG3" s="84">
        <v>45988</v>
      </c>
      <c r="AH3" s="84">
        <v>45989</v>
      </c>
      <c r="AI3" s="84">
        <v>45992</v>
      </c>
      <c r="AJ3" s="84">
        <v>45993</v>
      </c>
      <c r="AK3" s="84">
        <v>45994</v>
      </c>
      <c r="AL3" s="84">
        <v>45995</v>
      </c>
      <c r="AM3" s="84">
        <v>45996</v>
      </c>
      <c r="AN3" s="84">
        <v>45999</v>
      </c>
      <c r="AO3" s="84">
        <v>46000</v>
      </c>
      <c r="AP3" s="84">
        <v>46002</v>
      </c>
      <c r="AQ3" s="84">
        <v>46006</v>
      </c>
      <c r="AR3" s="84">
        <v>46007</v>
      </c>
      <c r="AS3" s="84">
        <v>46008</v>
      </c>
      <c r="AT3" s="84">
        <v>46009</v>
      </c>
      <c r="AU3" s="84">
        <v>46013</v>
      </c>
      <c r="AV3" s="84">
        <v>46014</v>
      </c>
      <c r="AW3" s="84">
        <v>46015</v>
      </c>
      <c r="AX3" s="84">
        <v>46020</v>
      </c>
      <c r="AY3" s="84">
        <v>46021</v>
      </c>
      <c r="AZ3" s="84">
        <v>46024</v>
      </c>
      <c r="BA3" s="84">
        <v>46028</v>
      </c>
      <c r="BB3" s="84">
        <v>46029</v>
      </c>
      <c r="BC3" s="84">
        <v>46030</v>
      </c>
      <c r="BD3" s="84">
        <v>46031</v>
      </c>
      <c r="BE3" s="84">
        <v>46034</v>
      </c>
      <c r="BF3" s="84">
        <v>46035</v>
      </c>
      <c r="BG3" s="84">
        <v>46036</v>
      </c>
      <c r="BH3" s="84">
        <v>46037</v>
      </c>
      <c r="BI3" s="84">
        <v>46038</v>
      </c>
      <c r="BJ3" s="84">
        <v>46041</v>
      </c>
      <c r="BK3" s="84">
        <v>46042</v>
      </c>
      <c r="BL3" s="84">
        <v>46043</v>
      </c>
      <c r="BM3" s="84">
        <v>46044</v>
      </c>
      <c r="BN3" s="84">
        <v>46048</v>
      </c>
      <c r="BO3" s="84">
        <v>46049</v>
      </c>
      <c r="BP3" s="84">
        <v>46055</v>
      </c>
      <c r="BQ3" s="84">
        <v>46056</v>
      </c>
      <c r="BR3" s="84">
        <v>46057</v>
      </c>
      <c r="BS3" s="84">
        <v>46058</v>
      </c>
      <c r="BT3" s="84">
        <v>46062</v>
      </c>
      <c r="BU3" s="84">
        <v>46063</v>
      </c>
      <c r="BV3" s="84">
        <v>46064</v>
      </c>
      <c r="BW3" s="84">
        <v>46065</v>
      </c>
      <c r="BX3" s="84">
        <v>46072</v>
      </c>
      <c r="BY3" s="84">
        <v>46073</v>
      </c>
      <c r="BZ3" s="84">
        <v>46076</v>
      </c>
      <c r="CA3" s="84">
        <v>46077</v>
      </c>
      <c r="CB3" s="84">
        <v>46078</v>
      </c>
      <c r="CC3" s="84">
        <v>46079</v>
      </c>
      <c r="CD3" s="84">
        <v>46091</v>
      </c>
      <c r="CE3" s="84">
        <v>46092</v>
      </c>
      <c r="CF3" s="84">
        <v>46093</v>
      </c>
      <c r="CG3" s="84">
        <v>46094</v>
      </c>
      <c r="CH3" s="84">
        <v>46098</v>
      </c>
      <c r="CI3" s="84">
        <v>46099</v>
      </c>
      <c r="CJ3" s="84">
        <v>46100</v>
      </c>
      <c r="CK3" s="84">
        <v>46101</v>
      </c>
      <c r="CL3" s="84">
        <v>46115</v>
      </c>
      <c r="CM3" s="84">
        <v>46118</v>
      </c>
      <c r="CN3" s="84">
        <v>46119</v>
      </c>
      <c r="CO3" s="84">
        <v>46120</v>
      </c>
      <c r="CP3" s="84">
        <v>46121</v>
      </c>
      <c r="CQ3" s="84">
        <v>46122</v>
      </c>
      <c r="CR3" s="84">
        <v>46125</v>
      </c>
      <c r="CS3" s="84">
        <v>46128</v>
      </c>
      <c r="CT3" s="84">
        <v>46132</v>
      </c>
      <c r="CU3" s="84">
        <v>46133</v>
      </c>
    </row>
    <row r="4" spans="2:99" x14ac:dyDescent="0.3">
      <c r="B4" s="85" t="s">
        <v>3319</v>
      </c>
      <c r="C4" s="86" t="s">
        <v>3320</v>
      </c>
      <c r="D4" s="86">
        <v>7</v>
      </c>
      <c r="E4" s="86">
        <v>16</v>
      </c>
      <c r="F4" s="86">
        <v>4</v>
      </c>
      <c r="G4" s="87">
        <v>11</v>
      </c>
      <c r="H4" s="87">
        <v>4</v>
      </c>
      <c r="I4" s="87">
        <v>13</v>
      </c>
      <c r="J4" s="87">
        <v>17</v>
      </c>
      <c r="K4" s="87">
        <v>6</v>
      </c>
      <c r="L4" s="87">
        <v>8</v>
      </c>
      <c r="M4" s="87">
        <v>3</v>
      </c>
      <c r="N4" s="87">
        <v>7</v>
      </c>
      <c r="O4" s="87">
        <v>9</v>
      </c>
      <c r="P4" s="87">
        <v>12</v>
      </c>
      <c r="Q4" s="87">
        <v>4</v>
      </c>
      <c r="R4" s="87">
        <v>12</v>
      </c>
      <c r="S4" s="87">
        <v>11</v>
      </c>
      <c r="T4" s="87">
        <v>2</v>
      </c>
      <c r="U4" s="87">
        <v>13</v>
      </c>
      <c r="V4" s="87">
        <v>11</v>
      </c>
      <c r="W4" s="87">
        <v>4</v>
      </c>
      <c r="X4" s="87">
        <v>3</v>
      </c>
      <c r="Y4" s="87">
        <v>5</v>
      </c>
      <c r="Z4" s="87">
        <v>7</v>
      </c>
      <c r="AA4" s="87">
        <v>2</v>
      </c>
      <c r="AB4" s="87">
        <v>6</v>
      </c>
      <c r="AC4" s="87">
        <v>4</v>
      </c>
      <c r="AD4" s="87">
        <v>5</v>
      </c>
      <c r="AE4" s="87">
        <v>1</v>
      </c>
      <c r="AF4" s="87">
        <v>1</v>
      </c>
      <c r="AG4" s="87">
        <v>4</v>
      </c>
      <c r="AH4" s="87">
        <v>4</v>
      </c>
      <c r="AI4" s="87">
        <v>2</v>
      </c>
      <c r="AJ4" s="87">
        <v>0</v>
      </c>
      <c r="AK4" s="87">
        <v>6</v>
      </c>
      <c r="AL4" s="87">
        <v>12</v>
      </c>
      <c r="AM4" s="87">
        <v>3</v>
      </c>
      <c r="AN4" s="87">
        <v>5</v>
      </c>
      <c r="AO4" s="87">
        <v>1</v>
      </c>
      <c r="AP4" s="87">
        <v>1</v>
      </c>
      <c r="AQ4" s="87">
        <v>6</v>
      </c>
      <c r="AR4" s="87">
        <v>6</v>
      </c>
      <c r="AS4" s="87">
        <v>0</v>
      </c>
      <c r="AT4" s="87">
        <v>7</v>
      </c>
      <c r="AU4" s="87">
        <v>15</v>
      </c>
      <c r="AV4" s="87">
        <v>3</v>
      </c>
      <c r="AW4" s="87">
        <v>9</v>
      </c>
      <c r="AX4" s="87">
        <v>6</v>
      </c>
      <c r="AY4" s="87">
        <v>3</v>
      </c>
      <c r="AZ4" s="87">
        <v>7</v>
      </c>
      <c r="BA4" s="87">
        <v>3</v>
      </c>
      <c r="BB4" s="87">
        <v>3</v>
      </c>
      <c r="BC4" s="87">
        <v>4</v>
      </c>
      <c r="BD4" s="87">
        <v>4</v>
      </c>
      <c r="BE4" s="87">
        <v>15</v>
      </c>
      <c r="BF4" s="87">
        <v>0</v>
      </c>
      <c r="BG4" s="87">
        <v>1</v>
      </c>
      <c r="BH4" s="87">
        <v>1</v>
      </c>
      <c r="BI4" s="87">
        <v>1</v>
      </c>
      <c r="BJ4" s="87">
        <v>5</v>
      </c>
      <c r="BK4" s="87">
        <v>4</v>
      </c>
      <c r="BL4" s="87">
        <v>1</v>
      </c>
      <c r="BM4" s="87">
        <v>6</v>
      </c>
      <c r="BN4" s="87">
        <v>7</v>
      </c>
      <c r="BO4" s="87">
        <v>0</v>
      </c>
      <c r="BP4" s="87">
        <v>4</v>
      </c>
      <c r="BQ4" s="87">
        <v>10</v>
      </c>
      <c r="BR4" s="87">
        <v>10</v>
      </c>
      <c r="BS4" s="87">
        <v>0</v>
      </c>
      <c r="BT4" s="87">
        <v>19</v>
      </c>
      <c r="BU4" s="87">
        <v>4</v>
      </c>
      <c r="BV4" s="87">
        <v>1</v>
      </c>
      <c r="BW4" s="87">
        <v>2</v>
      </c>
      <c r="BX4" s="87">
        <v>4</v>
      </c>
      <c r="BY4" s="87">
        <v>4</v>
      </c>
      <c r="BZ4" s="87">
        <v>10</v>
      </c>
      <c r="CA4" s="87">
        <v>3</v>
      </c>
      <c r="CB4" s="87">
        <v>14</v>
      </c>
      <c r="CC4" s="87">
        <v>0</v>
      </c>
      <c r="CD4" s="87">
        <v>4</v>
      </c>
      <c r="CE4" s="87">
        <v>2</v>
      </c>
      <c r="CF4" s="87">
        <v>2</v>
      </c>
      <c r="CG4" s="87">
        <v>2</v>
      </c>
      <c r="CH4" s="87">
        <v>4</v>
      </c>
      <c r="CI4" s="87">
        <v>10</v>
      </c>
      <c r="CJ4" s="87">
        <v>7</v>
      </c>
      <c r="CK4" s="87">
        <v>3</v>
      </c>
      <c r="CL4" s="87">
        <v>4</v>
      </c>
      <c r="CM4" s="87">
        <v>7</v>
      </c>
      <c r="CN4" s="87">
        <v>13</v>
      </c>
      <c r="CO4" s="87">
        <v>5</v>
      </c>
      <c r="CP4" s="87">
        <v>3</v>
      </c>
      <c r="CQ4" s="87">
        <v>3</v>
      </c>
      <c r="CR4" s="87">
        <v>5</v>
      </c>
      <c r="CS4" s="87">
        <v>4</v>
      </c>
      <c r="CT4" s="87">
        <v>5</v>
      </c>
      <c r="CU4" s="87">
        <v>3</v>
      </c>
    </row>
    <row r="5" spans="2:99" x14ac:dyDescent="0.3">
      <c r="B5" s="85" t="s">
        <v>3321</v>
      </c>
      <c r="C5" s="86" t="s">
        <v>3322</v>
      </c>
      <c r="D5" s="86">
        <v>21</v>
      </c>
      <c r="E5" s="86">
        <v>19</v>
      </c>
      <c r="F5" s="86">
        <v>18</v>
      </c>
      <c r="G5" s="87">
        <v>18</v>
      </c>
      <c r="H5" s="87">
        <v>18</v>
      </c>
      <c r="I5" s="87">
        <v>15</v>
      </c>
      <c r="J5" s="87">
        <v>16</v>
      </c>
      <c r="K5" s="87">
        <v>15</v>
      </c>
      <c r="L5" s="87">
        <v>19</v>
      </c>
      <c r="M5" s="87">
        <v>19</v>
      </c>
      <c r="N5" s="87">
        <v>16</v>
      </c>
      <c r="O5" s="87">
        <v>20</v>
      </c>
      <c r="P5" s="87">
        <v>21</v>
      </c>
      <c r="Q5" s="87">
        <v>24</v>
      </c>
      <c r="R5" s="87">
        <v>18</v>
      </c>
      <c r="S5" s="87">
        <v>17</v>
      </c>
      <c r="T5" s="87">
        <v>16</v>
      </c>
      <c r="U5" s="87">
        <v>8</v>
      </c>
      <c r="V5" s="87">
        <v>12</v>
      </c>
      <c r="W5" s="87">
        <v>10</v>
      </c>
      <c r="X5" s="87">
        <v>10</v>
      </c>
      <c r="Y5" s="87">
        <v>12</v>
      </c>
      <c r="Z5" s="87">
        <v>13</v>
      </c>
      <c r="AA5" s="87">
        <v>15</v>
      </c>
      <c r="AB5" s="87">
        <v>15</v>
      </c>
      <c r="AC5" s="87">
        <v>13</v>
      </c>
      <c r="AD5" s="87">
        <v>13</v>
      </c>
      <c r="AE5" s="87">
        <v>16</v>
      </c>
      <c r="AF5" s="87">
        <v>14</v>
      </c>
      <c r="AG5" s="87">
        <v>14</v>
      </c>
      <c r="AH5" s="87">
        <v>14</v>
      </c>
      <c r="AI5" s="87">
        <v>14</v>
      </c>
      <c r="AJ5" s="87">
        <v>16</v>
      </c>
      <c r="AK5" s="87">
        <v>12</v>
      </c>
      <c r="AL5" s="87">
        <v>14</v>
      </c>
      <c r="AM5" s="87">
        <v>18</v>
      </c>
      <c r="AN5" s="87">
        <v>14</v>
      </c>
      <c r="AO5" s="87">
        <v>15</v>
      </c>
      <c r="AP5" s="87">
        <v>8</v>
      </c>
      <c r="AQ5" s="87">
        <v>5</v>
      </c>
      <c r="AR5" s="87">
        <v>6</v>
      </c>
      <c r="AS5" s="87">
        <v>5</v>
      </c>
      <c r="AT5" s="87">
        <v>3</v>
      </c>
      <c r="AU5" s="87">
        <v>3</v>
      </c>
      <c r="AV5" s="87">
        <v>9</v>
      </c>
      <c r="AW5" s="87">
        <v>5</v>
      </c>
      <c r="AX5" s="87">
        <v>7</v>
      </c>
      <c r="AY5" s="87">
        <v>11</v>
      </c>
      <c r="AZ5" s="87">
        <v>6</v>
      </c>
      <c r="BA5" s="87">
        <v>9</v>
      </c>
      <c r="BB5" s="87">
        <v>8</v>
      </c>
      <c r="BC5" s="87">
        <v>9</v>
      </c>
      <c r="BD5" s="87">
        <v>10</v>
      </c>
      <c r="BE5" s="87">
        <v>11</v>
      </c>
      <c r="BF5" s="87">
        <v>14</v>
      </c>
      <c r="BG5" s="87">
        <v>13</v>
      </c>
      <c r="BH5" s="87">
        <v>13</v>
      </c>
      <c r="BI5" s="87">
        <v>11</v>
      </c>
      <c r="BJ5" s="87">
        <v>10</v>
      </c>
      <c r="BK5" s="87">
        <v>14</v>
      </c>
      <c r="BL5" s="87">
        <v>14</v>
      </c>
      <c r="BM5" s="87">
        <v>14</v>
      </c>
      <c r="BN5" s="87">
        <v>15</v>
      </c>
      <c r="BO5" s="87">
        <v>14</v>
      </c>
      <c r="BP5" s="87">
        <v>8</v>
      </c>
      <c r="BQ5" s="87">
        <v>10</v>
      </c>
      <c r="BR5" s="87">
        <v>10</v>
      </c>
      <c r="BS5" s="87">
        <v>9</v>
      </c>
      <c r="BT5" s="87">
        <v>5</v>
      </c>
      <c r="BU5" s="87">
        <v>12</v>
      </c>
      <c r="BV5" s="87">
        <v>9</v>
      </c>
      <c r="BW5" s="87">
        <v>10</v>
      </c>
      <c r="BX5" s="87">
        <v>11</v>
      </c>
      <c r="BY5" s="87">
        <v>12</v>
      </c>
      <c r="BZ5" s="87">
        <v>8</v>
      </c>
      <c r="CA5" s="87">
        <v>8</v>
      </c>
      <c r="CB5" s="87">
        <v>8</v>
      </c>
      <c r="CC5" s="87">
        <v>7</v>
      </c>
      <c r="CD5" s="87">
        <v>8</v>
      </c>
      <c r="CE5" s="87">
        <v>8</v>
      </c>
      <c r="CF5" s="87">
        <v>8</v>
      </c>
      <c r="CG5" s="87">
        <v>7</v>
      </c>
      <c r="CH5" s="87">
        <v>7</v>
      </c>
      <c r="CI5" s="87">
        <v>8</v>
      </c>
      <c r="CJ5" s="87">
        <v>10</v>
      </c>
      <c r="CK5" s="87">
        <v>8</v>
      </c>
      <c r="CL5" s="87">
        <v>6</v>
      </c>
      <c r="CM5" s="87">
        <v>6</v>
      </c>
      <c r="CN5" s="87">
        <v>8</v>
      </c>
      <c r="CO5" s="87">
        <v>8</v>
      </c>
      <c r="CP5" s="87">
        <v>7</v>
      </c>
      <c r="CQ5" s="87">
        <v>7</v>
      </c>
      <c r="CR5" s="87">
        <v>4</v>
      </c>
      <c r="CS5" s="87">
        <v>8</v>
      </c>
      <c r="CT5" s="87">
        <v>9</v>
      </c>
      <c r="CU5" s="87">
        <v>9</v>
      </c>
    </row>
    <row r="6" spans="2:99" x14ac:dyDescent="0.3">
      <c r="B6" s="88"/>
      <c r="C6" s="86" t="s">
        <v>3323</v>
      </c>
      <c r="D6" s="86">
        <v>28</v>
      </c>
      <c r="E6" s="86">
        <v>35</v>
      </c>
      <c r="F6" s="86">
        <v>22</v>
      </c>
      <c r="G6" s="87">
        <v>29</v>
      </c>
      <c r="H6" s="87">
        <v>22</v>
      </c>
      <c r="I6" s="87">
        <v>28</v>
      </c>
      <c r="J6" s="87">
        <v>33</v>
      </c>
      <c r="K6" s="87">
        <v>21</v>
      </c>
      <c r="L6" s="87">
        <v>27</v>
      </c>
      <c r="M6" s="87">
        <v>22</v>
      </c>
      <c r="N6" s="87">
        <v>23</v>
      </c>
      <c r="O6" s="87">
        <v>29</v>
      </c>
      <c r="P6" s="87">
        <f>P4+P5</f>
        <v>33</v>
      </c>
      <c r="Q6" s="87">
        <v>28</v>
      </c>
      <c r="R6" s="87">
        <v>30</v>
      </c>
      <c r="S6" s="87">
        <v>28</v>
      </c>
      <c r="T6" s="87">
        <v>18</v>
      </c>
      <c r="U6" s="87">
        <v>21</v>
      </c>
      <c r="V6" s="87">
        <v>23</v>
      </c>
      <c r="W6" s="87">
        <v>14</v>
      </c>
      <c r="X6" s="87">
        <v>13</v>
      </c>
      <c r="Y6" s="87">
        <v>17</v>
      </c>
      <c r="Z6" s="87">
        <v>20</v>
      </c>
      <c r="AA6" s="87">
        <v>17</v>
      </c>
      <c r="AB6" s="87">
        <v>21</v>
      </c>
      <c r="AC6" s="87">
        <v>17</v>
      </c>
      <c r="AD6" s="87">
        <v>18</v>
      </c>
      <c r="AE6" s="87">
        <v>17</v>
      </c>
      <c r="AF6" s="87">
        <v>15</v>
      </c>
      <c r="AG6" s="87">
        <v>18</v>
      </c>
      <c r="AH6" s="87">
        <v>18</v>
      </c>
      <c r="AI6" s="87">
        <v>16</v>
      </c>
      <c r="AJ6" s="87">
        <v>16</v>
      </c>
      <c r="AK6" s="87">
        <v>18</v>
      </c>
      <c r="AL6" s="87">
        <v>26</v>
      </c>
      <c r="AM6" s="87">
        <v>21</v>
      </c>
      <c r="AN6" s="87">
        <v>19</v>
      </c>
      <c r="AO6" s="87">
        <v>16</v>
      </c>
      <c r="AP6" s="87">
        <v>9</v>
      </c>
      <c r="AQ6" s="87">
        <v>11</v>
      </c>
      <c r="AR6" s="87">
        <v>12</v>
      </c>
      <c r="AS6" s="87">
        <v>5</v>
      </c>
      <c r="AT6" s="87">
        <v>10</v>
      </c>
      <c r="AU6" s="87">
        <v>18</v>
      </c>
      <c r="AV6" s="87">
        <v>12</v>
      </c>
      <c r="AW6" s="87">
        <v>14</v>
      </c>
      <c r="AX6" s="87">
        <v>13</v>
      </c>
      <c r="AY6" s="87">
        <v>14</v>
      </c>
      <c r="AZ6" s="87">
        <v>13</v>
      </c>
      <c r="BA6" s="87">
        <v>12</v>
      </c>
      <c r="BB6" s="87">
        <v>11</v>
      </c>
      <c r="BC6" s="87">
        <v>13</v>
      </c>
      <c r="BD6" s="87">
        <v>14</v>
      </c>
      <c r="BE6" s="87">
        <v>26</v>
      </c>
      <c r="BF6" s="87">
        <v>14</v>
      </c>
      <c r="BG6" s="87">
        <v>14</v>
      </c>
      <c r="BH6" s="87">
        <v>14</v>
      </c>
      <c r="BI6" s="87">
        <v>12</v>
      </c>
      <c r="BJ6" s="87">
        <v>15</v>
      </c>
      <c r="BK6" s="87">
        <v>18</v>
      </c>
      <c r="BL6" s="87">
        <v>15</v>
      </c>
      <c r="BM6" s="87">
        <v>20</v>
      </c>
      <c r="BN6" s="87">
        <v>22</v>
      </c>
      <c r="BO6" s="87">
        <v>14</v>
      </c>
      <c r="BP6" s="87">
        <v>12</v>
      </c>
      <c r="BQ6" s="87">
        <v>20</v>
      </c>
      <c r="BR6" s="87">
        <v>10</v>
      </c>
      <c r="BS6" s="87">
        <v>9</v>
      </c>
      <c r="BT6" s="87">
        <v>24</v>
      </c>
      <c r="BU6" s="87">
        <v>16</v>
      </c>
      <c r="BV6" s="87">
        <v>10</v>
      </c>
      <c r="BW6" s="87">
        <v>12</v>
      </c>
      <c r="BX6" s="87">
        <v>15</v>
      </c>
      <c r="BY6" s="87">
        <v>16</v>
      </c>
      <c r="BZ6" s="87">
        <v>18</v>
      </c>
      <c r="CA6" s="87">
        <v>11</v>
      </c>
      <c r="CB6" s="87">
        <v>22</v>
      </c>
      <c r="CC6" s="87">
        <v>7</v>
      </c>
      <c r="CD6" s="87">
        <v>12</v>
      </c>
      <c r="CE6" s="87">
        <v>10</v>
      </c>
      <c r="CF6" s="87">
        <v>10</v>
      </c>
      <c r="CG6" s="87">
        <v>9</v>
      </c>
      <c r="CH6" s="87">
        <v>11</v>
      </c>
      <c r="CI6" s="87">
        <v>18</v>
      </c>
      <c r="CJ6" s="87">
        <v>17</v>
      </c>
      <c r="CK6" s="87">
        <v>11</v>
      </c>
      <c r="CL6" s="87">
        <v>10</v>
      </c>
      <c r="CM6" s="87">
        <v>13</v>
      </c>
      <c r="CN6" s="87">
        <v>21</v>
      </c>
      <c r="CO6" s="87">
        <v>13</v>
      </c>
      <c r="CP6" s="87">
        <v>10</v>
      </c>
      <c r="CQ6" s="87">
        <v>10</v>
      </c>
      <c r="CR6" s="87">
        <v>9</v>
      </c>
      <c r="CS6" s="87">
        <v>12</v>
      </c>
      <c r="CT6" s="87">
        <v>14</v>
      </c>
      <c r="CU6" s="87">
        <v>12</v>
      </c>
    </row>
    <row r="7" spans="2:99" x14ac:dyDescent="0.3">
      <c r="B7" s="114" t="s">
        <v>3324</v>
      </c>
      <c r="C7" s="89" t="s">
        <v>3325</v>
      </c>
      <c r="D7" s="89">
        <v>24</v>
      </c>
      <c r="E7" s="89">
        <v>35</v>
      </c>
      <c r="F7" s="89">
        <v>20</v>
      </c>
      <c r="G7" s="90">
        <v>29</v>
      </c>
      <c r="H7" s="90">
        <v>22</v>
      </c>
      <c r="I7" s="90">
        <v>21</v>
      </c>
      <c r="J7" s="90">
        <v>29</v>
      </c>
      <c r="K7" s="90">
        <v>15</v>
      </c>
      <c r="L7" s="90">
        <v>25</v>
      </c>
      <c r="M7" s="90">
        <v>22</v>
      </c>
      <c r="N7" s="90">
        <v>23</v>
      </c>
      <c r="O7" s="90">
        <v>29</v>
      </c>
      <c r="P7" s="90">
        <v>32</v>
      </c>
      <c r="Q7" s="90">
        <v>27</v>
      </c>
      <c r="R7" s="90">
        <v>30</v>
      </c>
      <c r="S7" s="90">
        <v>27</v>
      </c>
      <c r="T7" s="90">
        <v>18</v>
      </c>
      <c r="U7" s="90">
        <v>21</v>
      </c>
      <c r="V7" s="90">
        <v>17</v>
      </c>
      <c r="W7" s="90">
        <v>14</v>
      </c>
      <c r="X7" s="90">
        <v>13</v>
      </c>
      <c r="Y7" s="90">
        <v>17</v>
      </c>
      <c r="Z7" s="90">
        <v>19</v>
      </c>
      <c r="AA7" s="90">
        <v>17</v>
      </c>
      <c r="AB7" s="90">
        <v>21</v>
      </c>
      <c r="AC7" s="90">
        <v>17</v>
      </c>
      <c r="AD7" s="90">
        <v>17</v>
      </c>
      <c r="AE7" s="90">
        <v>17</v>
      </c>
      <c r="AF7" s="90">
        <v>15</v>
      </c>
      <c r="AG7" s="90">
        <v>18</v>
      </c>
      <c r="AH7" s="90">
        <v>18</v>
      </c>
      <c r="AI7" s="90">
        <v>14</v>
      </c>
      <c r="AJ7" s="90">
        <v>16</v>
      </c>
      <c r="AK7" s="90">
        <v>16</v>
      </c>
      <c r="AL7" s="90">
        <v>22</v>
      </c>
      <c r="AM7" s="90">
        <v>21</v>
      </c>
      <c r="AN7" s="90">
        <v>19</v>
      </c>
      <c r="AO7" s="90">
        <v>16</v>
      </c>
      <c r="AP7" s="90">
        <v>9</v>
      </c>
      <c r="AQ7" s="90">
        <v>10</v>
      </c>
      <c r="AR7" s="90">
        <v>11</v>
      </c>
      <c r="AS7" s="90">
        <v>5</v>
      </c>
      <c r="AT7" s="90">
        <v>10</v>
      </c>
      <c r="AU7" s="90">
        <v>18</v>
      </c>
      <c r="AV7" s="90">
        <v>11</v>
      </c>
      <c r="AW7" s="90">
        <v>14</v>
      </c>
      <c r="AX7" s="90">
        <v>7</v>
      </c>
      <c r="AY7" s="90">
        <v>14</v>
      </c>
      <c r="AZ7" s="90">
        <v>13</v>
      </c>
      <c r="BA7" s="90">
        <v>12</v>
      </c>
      <c r="BB7" s="90">
        <v>10</v>
      </c>
      <c r="BC7" s="90">
        <v>11</v>
      </c>
      <c r="BD7" s="90">
        <v>14</v>
      </c>
      <c r="BE7" s="90">
        <v>26</v>
      </c>
      <c r="BF7" s="90">
        <v>14</v>
      </c>
      <c r="BG7" s="90">
        <v>14</v>
      </c>
      <c r="BH7" s="90">
        <v>14</v>
      </c>
      <c r="BI7" s="90">
        <v>12</v>
      </c>
      <c r="BJ7" s="90">
        <v>15</v>
      </c>
      <c r="BK7" s="90">
        <v>18</v>
      </c>
      <c r="BL7" s="90">
        <v>15</v>
      </c>
      <c r="BM7" s="90">
        <v>20</v>
      </c>
      <c r="BN7" s="90">
        <v>22</v>
      </c>
      <c r="BO7" s="90">
        <v>14</v>
      </c>
      <c r="BP7" s="90">
        <v>11</v>
      </c>
      <c r="BQ7" s="90">
        <v>19</v>
      </c>
      <c r="BR7" s="90">
        <v>10</v>
      </c>
      <c r="BS7" s="90">
        <v>9</v>
      </c>
      <c r="BT7" s="90">
        <v>23</v>
      </c>
      <c r="BU7" s="90">
        <v>16</v>
      </c>
      <c r="BV7" s="90">
        <v>10</v>
      </c>
      <c r="BW7" s="90">
        <v>12</v>
      </c>
      <c r="BX7" s="90">
        <v>15</v>
      </c>
      <c r="BY7" s="90">
        <v>16</v>
      </c>
      <c r="BZ7" s="90">
        <v>18</v>
      </c>
      <c r="CA7" s="90">
        <v>10</v>
      </c>
      <c r="CB7" s="90">
        <v>22</v>
      </c>
      <c r="CC7" s="90">
        <v>7</v>
      </c>
      <c r="CD7" s="90">
        <v>12</v>
      </c>
      <c r="CE7" s="90">
        <v>10</v>
      </c>
      <c r="CF7" s="90">
        <v>10</v>
      </c>
      <c r="CG7" s="90">
        <v>9</v>
      </c>
      <c r="CH7" s="90">
        <v>11</v>
      </c>
      <c r="CI7" s="90">
        <v>16</v>
      </c>
      <c r="CJ7" s="90">
        <v>17</v>
      </c>
      <c r="CK7" s="90">
        <v>11</v>
      </c>
      <c r="CL7" s="90">
        <v>10</v>
      </c>
      <c r="CM7" s="90">
        <v>13</v>
      </c>
      <c r="CN7" s="90">
        <v>21</v>
      </c>
      <c r="CO7" s="90">
        <v>13</v>
      </c>
      <c r="CP7" s="90">
        <v>10</v>
      </c>
      <c r="CQ7" s="90">
        <v>10</v>
      </c>
      <c r="CR7" s="90">
        <v>9</v>
      </c>
      <c r="CS7" s="90">
        <v>12</v>
      </c>
      <c r="CT7" s="90">
        <v>14</v>
      </c>
      <c r="CU7" s="90">
        <v>12</v>
      </c>
    </row>
    <row r="8" spans="2:99" x14ac:dyDescent="0.3">
      <c r="B8" s="115"/>
      <c r="C8" s="89" t="s">
        <v>3326</v>
      </c>
      <c r="D8" s="91">
        <v>0.85699999999999998</v>
      </c>
      <c r="E8" s="91">
        <v>1</v>
      </c>
      <c r="F8" s="91">
        <v>0.90910000000000002</v>
      </c>
      <c r="G8" s="91">
        <v>1</v>
      </c>
      <c r="H8" s="91">
        <v>1</v>
      </c>
      <c r="I8" s="92">
        <f t="shared" ref="I8:BT8" si="0">I7/I6</f>
        <v>0.75</v>
      </c>
      <c r="J8" s="93">
        <f t="shared" si="0"/>
        <v>0.87878787878787878</v>
      </c>
      <c r="K8" s="93">
        <f t="shared" si="0"/>
        <v>0.7142857142857143</v>
      </c>
      <c r="L8" s="93">
        <f t="shared" si="0"/>
        <v>0.92592592592592593</v>
      </c>
      <c r="M8" s="93">
        <f t="shared" si="0"/>
        <v>1</v>
      </c>
      <c r="N8" s="93">
        <f t="shared" si="0"/>
        <v>1</v>
      </c>
      <c r="O8" s="93">
        <f t="shared" si="0"/>
        <v>1</v>
      </c>
      <c r="P8" s="93">
        <f t="shared" si="0"/>
        <v>0.96969696969696972</v>
      </c>
      <c r="Q8" s="93">
        <f t="shared" si="0"/>
        <v>0.9642857142857143</v>
      </c>
      <c r="R8" s="93">
        <f t="shared" si="0"/>
        <v>1</v>
      </c>
      <c r="S8" s="93">
        <f t="shared" si="0"/>
        <v>0.9642857142857143</v>
      </c>
      <c r="T8" s="93">
        <f t="shared" si="0"/>
        <v>1</v>
      </c>
      <c r="U8" s="93">
        <f t="shared" si="0"/>
        <v>1</v>
      </c>
      <c r="V8" s="93">
        <f t="shared" si="0"/>
        <v>0.73913043478260865</v>
      </c>
      <c r="W8" s="93">
        <f t="shared" si="0"/>
        <v>1</v>
      </c>
      <c r="X8" s="93">
        <f t="shared" si="0"/>
        <v>1</v>
      </c>
      <c r="Y8" s="93">
        <f t="shared" si="0"/>
        <v>1</v>
      </c>
      <c r="Z8" s="93">
        <f t="shared" si="0"/>
        <v>0.95</v>
      </c>
      <c r="AA8" s="93">
        <f t="shared" si="0"/>
        <v>1</v>
      </c>
      <c r="AB8" s="93">
        <f t="shared" si="0"/>
        <v>1</v>
      </c>
      <c r="AC8" s="93">
        <f t="shared" si="0"/>
        <v>1</v>
      </c>
      <c r="AD8" s="93">
        <f t="shared" si="0"/>
        <v>0.94444444444444442</v>
      </c>
      <c r="AE8" s="93">
        <f t="shared" si="0"/>
        <v>1</v>
      </c>
      <c r="AF8" s="93">
        <f t="shared" si="0"/>
        <v>1</v>
      </c>
      <c r="AG8" s="93">
        <f t="shared" si="0"/>
        <v>1</v>
      </c>
      <c r="AH8" s="93">
        <f t="shared" si="0"/>
        <v>1</v>
      </c>
      <c r="AI8" s="93">
        <f t="shared" si="0"/>
        <v>0.875</v>
      </c>
      <c r="AJ8" s="93">
        <f t="shared" si="0"/>
        <v>1</v>
      </c>
      <c r="AK8" s="93">
        <f t="shared" si="0"/>
        <v>0.88888888888888884</v>
      </c>
      <c r="AL8" s="93">
        <f t="shared" si="0"/>
        <v>0.84615384615384615</v>
      </c>
      <c r="AM8" s="93">
        <f t="shared" si="0"/>
        <v>1</v>
      </c>
      <c r="AN8" s="93">
        <f t="shared" si="0"/>
        <v>1</v>
      </c>
      <c r="AO8" s="93">
        <f t="shared" si="0"/>
        <v>1</v>
      </c>
      <c r="AP8" s="93">
        <f t="shared" si="0"/>
        <v>1</v>
      </c>
      <c r="AQ8" s="93">
        <f t="shared" si="0"/>
        <v>0.90909090909090906</v>
      </c>
      <c r="AR8" s="93">
        <f t="shared" si="0"/>
        <v>0.91666666666666663</v>
      </c>
      <c r="AS8" s="93">
        <f t="shared" si="0"/>
        <v>1</v>
      </c>
      <c r="AT8" s="93">
        <f t="shared" si="0"/>
        <v>1</v>
      </c>
      <c r="AU8" s="93">
        <f t="shared" si="0"/>
        <v>1</v>
      </c>
      <c r="AV8" s="93">
        <f t="shared" si="0"/>
        <v>0.91666666666666663</v>
      </c>
      <c r="AW8" s="93">
        <f t="shared" si="0"/>
        <v>1</v>
      </c>
      <c r="AX8" s="93">
        <f t="shared" si="0"/>
        <v>0.53846153846153844</v>
      </c>
      <c r="AY8" s="93">
        <f t="shared" si="0"/>
        <v>1</v>
      </c>
      <c r="AZ8" s="93">
        <f t="shared" si="0"/>
        <v>1</v>
      </c>
      <c r="BA8" s="93">
        <f t="shared" si="0"/>
        <v>1</v>
      </c>
      <c r="BB8" s="93">
        <f t="shared" si="0"/>
        <v>0.90909090909090906</v>
      </c>
      <c r="BC8" s="93">
        <f t="shared" si="0"/>
        <v>0.84615384615384615</v>
      </c>
      <c r="BD8" s="93">
        <f t="shared" si="0"/>
        <v>1</v>
      </c>
      <c r="BE8" s="93">
        <f t="shared" si="0"/>
        <v>1</v>
      </c>
      <c r="BF8" s="93">
        <f t="shared" si="0"/>
        <v>1</v>
      </c>
      <c r="BG8" s="93">
        <f t="shared" si="0"/>
        <v>1</v>
      </c>
      <c r="BH8" s="93">
        <f t="shared" si="0"/>
        <v>1</v>
      </c>
      <c r="BI8" s="93">
        <f t="shared" si="0"/>
        <v>1</v>
      </c>
      <c r="BJ8" s="93">
        <f t="shared" si="0"/>
        <v>1</v>
      </c>
      <c r="BK8" s="93">
        <f t="shared" si="0"/>
        <v>1</v>
      </c>
      <c r="BL8" s="93">
        <f t="shared" si="0"/>
        <v>1</v>
      </c>
      <c r="BM8" s="93">
        <f t="shared" si="0"/>
        <v>1</v>
      </c>
      <c r="BN8" s="93">
        <f t="shared" si="0"/>
        <v>1</v>
      </c>
      <c r="BO8" s="93">
        <f t="shared" si="0"/>
        <v>1</v>
      </c>
      <c r="BP8" s="93">
        <f t="shared" si="0"/>
        <v>0.91666666666666663</v>
      </c>
      <c r="BQ8" s="93">
        <f t="shared" si="0"/>
        <v>0.95</v>
      </c>
      <c r="BR8" s="93">
        <f t="shared" si="0"/>
        <v>1</v>
      </c>
      <c r="BS8" s="93">
        <f t="shared" si="0"/>
        <v>1</v>
      </c>
      <c r="BT8" s="93">
        <f t="shared" si="0"/>
        <v>0.95833333333333337</v>
      </c>
      <c r="BU8" s="93">
        <f t="shared" ref="BU8:CP8" si="1">BU7/BU6</f>
        <v>1</v>
      </c>
      <c r="BV8" s="93">
        <f t="shared" si="1"/>
        <v>1</v>
      </c>
      <c r="BW8" s="93">
        <f t="shared" si="1"/>
        <v>1</v>
      </c>
      <c r="BX8" s="93">
        <f t="shared" si="1"/>
        <v>1</v>
      </c>
      <c r="BY8" s="93">
        <f t="shared" si="1"/>
        <v>1</v>
      </c>
      <c r="BZ8" s="93">
        <f t="shared" si="1"/>
        <v>1</v>
      </c>
      <c r="CA8" s="93">
        <f t="shared" si="1"/>
        <v>0.90909090909090906</v>
      </c>
      <c r="CB8" s="93">
        <f t="shared" si="1"/>
        <v>1</v>
      </c>
      <c r="CC8" s="93">
        <f t="shared" si="1"/>
        <v>1</v>
      </c>
      <c r="CD8" s="93">
        <f t="shared" si="1"/>
        <v>1</v>
      </c>
      <c r="CE8" s="93">
        <f t="shared" si="1"/>
        <v>1</v>
      </c>
      <c r="CF8" s="93">
        <f t="shared" si="1"/>
        <v>1</v>
      </c>
      <c r="CG8" s="93">
        <f t="shared" si="1"/>
        <v>1</v>
      </c>
      <c r="CH8" s="93">
        <f t="shared" si="1"/>
        <v>1</v>
      </c>
      <c r="CI8" s="93">
        <f t="shared" si="1"/>
        <v>0.88888888888888884</v>
      </c>
      <c r="CJ8" s="93">
        <f t="shared" si="1"/>
        <v>1</v>
      </c>
      <c r="CK8" s="93">
        <f t="shared" si="1"/>
        <v>1</v>
      </c>
      <c r="CL8" s="93">
        <f t="shared" si="1"/>
        <v>1</v>
      </c>
      <c r="CM8" s="93">
        <f t="shared" si="1"/>
        <v>1</v>
      </c>
      <c r="CN8" s="93">
        <f t="shared" si="1"/>
        <v>1</v>
      </c>
      <c r="CO8" s="93">
        <f t="shared" si="1"/>
        <v>1</v>
      </c>
      <c r="CP8" s="93">
        <f t="shared" si="1"/>
        <v>1</v>
      </c>
      <c r="CQ8" s="93">
        <f>CQ7/CQ6</f>
        <v>1</v>
      </c>
      <c r="CR8" s="93">
        <f>CR7/CR6</f>
        <v>1</v>
      </c>
      <c r="CS8" s="93">
        <f>CS7/CS6</f>
        <v>1</v>
      </c>
      <c r="CT8" s="93">
        <f>CT7/CT6</f>
        <v>1</v>
      </c>
      <c r="CU8" s="93">
        <f>CU7/CU6</f>
        <v>1</v>
      </c>
    </row>
    <row r="9" spans="2:99" x14ac:dyDescent="0.3">
      <c r="B9" s="116" t="s">
        <v>3327</v>
      </c>
      <c r="C9" s="94" t="s">
        <v>3328</v>
      </c>
      <c r="D9" s="94">
        <v>9</v>
      </c>
      <c r="E9" s="94">
        <v>16</v>
      </c>
      <c r="F9" s="94">
        <v>2</v>
      </c>
      <c r="G9" s="95">
        <v>13</v>
      </c>
      <c r="H9" s="95">
        <v>7</v>
      </c>
      <c r="I9" s="95">
        <v>5</v>
      </c>
      <c r="J9" s="95">
        <v>15</v>
      </c>
      <c r="K9" s="95">
        <v>1</v>
      </c>
      <c r="L9" s="95">
        <v>6</v>
      </c>
      <c r="M9" s="95">
        <v>7</v>
      </c>
      <c r="N9" s="95">
        <v>2</v>
      </c>
      <c r="O9" s="95">
        <v>7</v>
      </c>
      <c r="P9" s="95">
        <v>9</v>
      </c>
      <c r="Q9" s="95">
        <v>5</v>
      </c>
      <c r="R9" s="95">
        <v>10</v>
      </c>
      <c r="S9" s="95">
        <v>11</v>
      </c>
      <c r="T9" s="95">
        <v>3</v>
      </c>
      <c r="U9" s="95">
        <v>10</v>
      </c>
      <c r="V9" s="95">
        <v>9</v>
      </c>
      <c r="W9" s="95">
        <v>2</v>
      </c>
      <c r="X9" s="95">
        <v>1</v>
      </c>
      <c r="Y9" s="95">
        <v>5</v>
      </c>
      <c r="Z9" s="95">
        <v>4</v>
      </c>
      <c r="AA9" s="95"/>
      <c r="AB9" s="95">
        <v>8</v>
      </c>
      <c r="AC9" s="95">
        <v>4</v>
      </c>
      <c r="AD9" s="95">
        <v>1</v>
      </c>
      <c r="AE9" s="95">
        <v>2</v>
      </c>
      <c r="AF9" s="95">
        <v>1</v>
      </c>
      <c r="AG9" s="95">
        <v>4</v>
      </c>
      <c r="AH9" s="95">
        <v>4</v>
      </c>
      <c r="AI9" s="95">
        <v>0</v>
      </c>
      <c r="AJ9" s="95">
        <v>4</v>
      </c>
      <c r="AK9" s="95">
        <v>4</v>
      </c>
      <c r="AL9" s="95">
        <v>7</v>
      </c>
      <c r="AM9" s="95">
        <v>8</v>
      </c>
      <c r="AN9" s="95">
        <v>5</v>
      </c>
      <c r="AO9" s="95">
        <v>6</v>
      </c>
      <c r="AP9" s="95">
        <v>2</v>
      </c>
      <c r="AQ9" s="95">
        <v>5</v>
      </c>
      <c r="AR9" s="95">
        <v>7</v>
      </c>
      <c r="AS9" s="95">
        <v>2</v>
      </c>
      <c r="AT9" s="95">
        <v>8</v>
      </c>
      <c r="AU9" s="95">
        <v>11</v>
      </c>
      <c r="AV9" s="95">
        <v>7</v>
      </c>
      <c r="AW9" s="95">
        <v>9</v>
      </c>
      <c r="AX9" s="95">
        <v>2</v>
      </c>
      <c r="AY9" s="95">
        <v>6</v>
      </c>
      <c r="AZ9" s="95">
        <v>3</v>
      </c>
      <c r="BA9" s="95">
        <v>3</v>
      </c>
      <c r="BB9" s="95">
        <v>2</v>
      </c>
      <c r="BC9" s="95">
        <v>2</v>
      </c>
      <c r="BD9" s="95">
        <v>3</v>
      </c>
      <c r="BE9" s="95">
        <v>12</v>
      </c>
      <c r="BF9" s="95">
        <v>1</v>
      </c>
      <c r="BG9" s="95">
        <v>1</v>
      </c>
      <c r="BH9" s="95">
        <v>3</v>
      </c>
      <c r="BI9" s="95">
        <v>2</v>
      </c>
      <c r="BJ9" s="95">
        <v>1</v>
      </c>
      <c r="BK9" s="95">
        <v>5</v>
      </c>
      <c r="BL9" s="95">
        <v>3</v>
      </c>
      <c r="BM9" s="95">
        <v>5</v>
      </c>
      <c r="BN9" s="95">
        <v>9</v>
      </c>
      <c r="BO9" s="95">
        <v>6</v>
      </c>
      <c r="BP9" s="95">
        <v>2</v>
      </c>
      <c r="BQ9" s="95">
        <v>10</v>
      </c>
      <c r="BR9" s="95">
        <v>4</v>
      </c>
      <c r="BS9" s="95">
        <v>4</v>
      </c>
      <c r="BT9" s="95">
        <v>12</v>
      </c>
      <c r="BU9" s="95">
        <v>6</v>
      </c>
      <c r="BV9" s="95">
        <v>0</v>
      </c>
      <c r="BW9" s="95">
        <v>3</v>
      </c>
      <c r="BX9" s="95">
        <v>5</v>
      </c>
      <c r="BY9" s="95">
        <v>6</v>
      </c>
      <c r="BZ9" s="95">
        <v>10</v>
      </c>
      <c r="CA9" s="95">
        <v>2</v>
      </c>
      <c r="CB9" s="95">
        <v>14</v>
      </c>
      <c r="CC9" s="95">
        <v>2</v>
      </c>
      <c r="CD9" s="95">
        <v>4</v>
      </c>
      <c r="CE9" s="95">
        <v>1</v>
      </c>
      <c r="CF9" s="95">
        <v>3</v>
      </c>
      <c r="CG9" s="95">
        <v>2</v>
      </c>
      <c r="CH9" s="95">
        <v>2</v>
      </c>
      <c r="CI9" s="95">
        <v>3</v>
      </c>
      <c r="CJ9" s="95">
        <v>9</v>
      </c>
      <c r="CK9" s="95">
        <v>4</v>
      </c>
      <c r="CL9" s="95">
        <v>4</v>
      </c>
      <c r="CM9" s="95">
        <v>5</v>
      </c>
      <c r="CN9" s="95">
        <v>13</v>
      </c>
      <c r="CO9" s="95">
        <v>4</v>
      </c>
      <c r="CP9" s="95">
        <v>2</v>
      </c>
      <c r="CQ9" s="95">
        <v>5</v>
      </c>
      <c r="CR9" s="95">
        <v>4</v>
      </c>
      <c r="CS9" s="95">
        <v>4</v>
      </c>
      <c r="CT9" s="95">
        <v>5</v>
      </c>
      <c r="CU9" s="95">
        <v>8</v>
      </c>
    </row>
    <row r="10" spans="2:99" x14ac:dyDescent="0.3">
      <c r="B10" s="117"/>
      <c r="C10" s="94" t="s">
        <v>3329</v>
      </c>
      <c r="D10" s="96">
        <v>0.32140000000000002</v>
      </c>
      <c r="E10" s="96">
        <v>0.45710000000000001</v>
      </c>
      <c r="F10" s="96">
        <v>9.0899999999999995E-2</v>
      </c>
      <c r="G10" s="97">
        <v>0.44800000000000001</v>
      </c>
      <c r="H10" s="98">
        <f>H9/H7*100</f>
        <v>31.818181818181817</v>
      </c>
      <c r="I10" s="99">
        <v>0.17799999999999999</v>
      </c>
      <c r="J10" s="100">
        <f t="shared" ref="J10:BU10" si="2">J9/J6</f>
        <v>0.45454545454545453</v>
      </c>
      <c r="K10" s="100">
        <f t="shared" si="2"/>
        <v>4.7619047619047616E-2</v>
      </c>
      <c r="L10" s="100">
        <f t="shared" si="2"/>
        <v>0.22222222222222221</v>
      </c>
      <c r="M10" s="100">
        <f t="shared" si="2"/>
        <v>0.31818181818181818</v>
      </c>
      <c r="N10" s="100">
        <f t="shared" si="2"/>
        <v>8.6956521739130432E-2</v>
      </c>
      <c r="O10" s="100">
        <f t="shared" si="2"/>
        <v>0.2413793103448276</v>
      </c>
      <c r="P10" s="100">
        <f t="shared" si="2"/>
        <v>0.27272727272727271</v>
      </c>
      <c r="Q10" s="100">
        <f t="shared" si="2"/>
        <v>0.17857142857142858</v>
      </c>
      <c r="R10" s="100">
        <f t="shared" si="2"/>
        <v>0.33333333333333331</v>
      </c>
      <c r="S10" s="100">
        <f t="shared" si="2"/>
        <v>0.39285714285714285</v>
      </c>
      <c r="T10" s="100">
        <f t="shared" si="2"/>
        <v>0.16666666666666666</v>
      </c>
      <c r="U10" s="100">
        <f t="shared" si="2"/>
        <v>0.47619047619047616</v>
      </c>
      <c r="V10" s="100">
        <f t="shared" si="2"/>
        <v>0.39130434782608697</v>
      </c>
      <c r="W10" s="100">
        <f t="shared" si="2"/>
        <v>0.14285714285714285</v>
      </c>
      <c r="X10" s="100">
        <f t="shared" si="2"/>
        <v>7.6923076923076927E-2</v>
      </c>
      <c r="Y10" s="100">
        <f t="shared" si="2"/>
        <v>0.29411764705882354</v>
      </c>
      <c r="Z10" s="100">
        <f t="shared" si="2"/>
        <v>0.2</v>
      </c>
      <c r="AA10" s="100">
        <f t="shared" si="2"/>
        <v>0</v>
      </c>
      <c r="AB10" s="100">
        <f t="shared" si="2"/>
        <v>0.38095238095238093</v>
      </c>
      <c r="AC10" s="100">
        <f t="shared" si="2"/>
        <v>0.23529411764705882</v>
      </c>
      <c r="AD10" s="100">
        <f t="shared" si="2"/>
        <v>5.5555555555555552E-2</v>
      </c>
      <c r="AE10" s="100">
        <f t="shared" si="2"/>
        <v>0.11764705882352941</v>
      </c>
      <c r="AF10" s="100">
        <f t="shared" si="2"/>
        <v>6.6666666666666666E-2</v>
      </c>
      <c r="AG10" s="100">
        <f t="shared" si="2"/>
        <v>0.22222222222222221</v>
      </c>
      <c r="AH10" s="100">
        <f t="shared" si="2"/>
        <v>0.22222222222222221</v>
      </c>
      <c r="AI10" s="100">
        <f t="shared" si="2"/>
        <v>0</v>
      </c>
      <c r="AJ10" s="100">
        <f t="shared" si="2"/>
        <v>0.25</v>
      </c>
      <c r="AK10" s="100">
        <f t="shared" si="2"/>
        <v>0.22222222222222221</v>
      </c>
      <c r="AL10" s="100">
        <f t="shared" si="2"/>
        <v>0.26923076923076922</v>
      </c>
      <c r="AM10" s="100">
        <f t="shared" si="2"/>
        <v>0.38095238095238093</v>
      </c>
      <c r="AN10" s="100">
        <f t="shared" si="2"/>
        <v>0.26315789473684209</v>
      </c>
      <c r="AO10" s="100">
        <f t="shared" si="2"/>
        <v>0.375</v>
      </c>
      <c r="AP10" s="100">
        <f t="shared" si="2"/>
        <v>0.22222222222222221</v>
      </c>
      <c r="AQ10" s="100">
        <f t="shared" si="2"/>
        <v>0.45454545454545453</v>
      </c>
      <c r="AR10" s="100">
        <f t="shared" si="2"/>
        <v>0.58333333333333337</v>
      </c>
      <c r="AS10" s="100">
        <f t="shared" si="2"/>
        <v>0.4</v>
      </c>
      <c r="AT10" s="100">
        <f t="shared" si="2"/>
        <v>0.8</v>
      </c>
      <c r="AU10" s="100">
        <f t="shared" si="2"/>
        <v>0.61111111111111116</v>
      </c>
      <c r="AV10" s="100">
        <f t="shared" si="2"/>
        <v>0.58333333333333337</v>
      </c>
      <c r="AW10" s="100">
        <f t="shared" si="2"/>
        <v>0.6428571428571429</v>
      </c>
      <c r="AX10" s="100">
        <f t="shared" si="2"/>
        <v>0.15384615384615385</v>
      </c>
      <c r="AY10" s="100">
        <f t="shared" si="2"/>
        <v>0.42857142857142855</v>
      </c>
      <c r="AZ10" s="100">
        <f t="shared" si="2"/>
        <v>0.23076923076923078</v>
      </c>
      <c r="BA10" s="100">
        <f t="shared" si="2"/>
        <v>0.25</v>
      </c>
      <c r="BB10" s="100">
        <f t="shared" si="2"/>
        <v>0.18181818181818182</v>
      </c>
      <c r="BC10" s="100">
        <f t="shared" si="2"/>
        <v>0.15384615384615385</v>
      </c>
      <c r="BD10" s="100">
        <f t="shared" si="2"/>
        <v>0.21428571428571427</v>
      </c>
      <c r="BE10" s="100">
        <f t="shared" si="2"/>
        <v>0.46153846153846156</v>
      </c>
      <c r="BF10" s="100">
        <f t="shared" si="2"/>
        <v>7.1428571428571425E-2</v>
      </c>
      <c r="BG10" s="100">
        <f t="shared" si="2"/>
        <v>7.1428571428571425E-2</v>
      </c>
      <c r="BH10" s="100">
        <f t="shared" si="2"/>
        <v>0.21428571428571427</v>
      </c>
      <c r="BI10" s="100">
        <f t="shared" si="2"/>
        <v>0.16666666666666666</v>
      </c>
      <c r="BJ10" s="100">
        <f t="shared" si="2"/>
        <v>6.6666666666666666E-2</v>
      </c>
      <c r="BK10" s="100">
        <f t="shared" si="2"/>
        <v>0.27777777777777779</v>
      </c>
      <c r="BL10" s="100">
        <f t="shared" si="2"/>
        <v>0.2</v>
      </c>
      <c r="BM10" s="100">
        <f t="shared" si="2"/>
        <v>0.25</v>
      </c>
      <c r="BN10" s="100">
        <f t="shared" si="2"/>
        <v>0.40909090909090912</v>
      </c>
      <c r="BO10" s="100">
        <f t="shared" si="2"/>
        <v>0.42857142857142855</v>
      </c>
      <c r="BP10" s="100">
        <f t="shared" si="2"/>
        <v>0.16666666666666666</v>
      </c>
      <c r="BQ10" s="100">
        <f t="shared" si="2"/>
        <v>0.5</v>
      </c>
      <c r="BR10" s="100">
        <f t="shared" si="2"/>
        <v>0.4</v>
      </c>
      <c r="BS10" s="100">
        <f t="shared" si="2"/>
        <v>0.44444444444444442</v>
      </c>
      <c r="BT10" s="100">
        <f t="shared" si="2"/>
        <v>0.5</v>
      </c>
      <c r="BU10" s="100">
        <f t="shared" si="2"/>
        <v>0.375</v>
      </c>
      <c r="BV10" s="100">
        <f t="shared" ref="BV10:CP10" si="3">BV9/BV6</f>
        <v>0</v>
      </c>
      <c r="BW10" s="100">
        <f t="shared" si="3"/>
        <v>0.25</v>
      </c>
      <c r="BX10" s="100">
        <f t="shared" si="3"/>
        <v>0.33333333333333331</v>
      </c>
      <c r="BY10" s="100">
        <f t="shared" si="3"/>
        <v>0.375</v>
      </c>
      <c r="BZ10" s="100">
        <f t="shared" si="3"/>
        <v>0.55555555555555558</v>
      </c>
      <c r="CA10" s="100">
        <f t="shared" si="3"/>
        <v>0.18181818181818182</v>
      </c>
      <c r="CB10" s="100">
        <f t="shared" si="3"/>
        <v>0.63636363636363635</v>
      </c>
      <c r="CC10" s="100">
        <f t="shared" si="3"/>
        <v>0.2857142857142857</v>
      </c>
      <c r="CD10" s="100">
        <f t="shared" si="3"/>
        <v>0.33333333333333331</v>
      </c>
      <c r="CE10" s="100">
        <f t="shared" si="3"/>
        <v>0.1</v>
      </c>
      <c r="CF10" s="100">
        <f t="shared" si="3"/>
        <v>0.3</v>
      </c>
      <c r="CG10" s="100">
        <f t="shared" si="3"/>
        <v>0.22222222222222221</v>
      </c>
      <c r="CH10" s="100">
        <f t="shared" si="3"/>
        <v>0.18181818181818182</v>
      </c>
      <c r="CI10" s="100">
        <f t="shared" si="3"/>
        <v>0.16666666666666666</v>
      </c>
      <c r="CJ10" s="100">
        <f t="shared" si="3"/>
        <v>0.52941176470588236</v>
      </c>
      <c r="CK10" s="100">
        <f t="shared" si="3"/>
        <v>0.36363636363636365</v>
      </c>
      <c r="CL10" s="100">
        <f t="shared" si="3"/>
        <v>0.4</v>
      </c>
      <c r="CM10" s="100">
        <f t="shared" si="3"/>
        <v>0.38461538461538464</v>
      </c>
      <c r="CN10" s="100">
        <f t="shared" si="3"/>
        <v>0.61904761904761907</v>
      </c>
      <c r="CO10" s="100">
        <f t="shared" si="3"/>
        <v>0.30769230769230771</v>
      </c>
      <c r="CP10" s="100">
        <f t="shared" si="3"/>
        <v>0.2</v>
      </c>
      <c r="CQ10" s="100">
        <f>CQ9/CQ6</f>
        <v>0.5</v>
      </c>
      <c r="CR10" s="100">
        <f>CR9/CR6</f>
        <v>0.44444444444444442</v>
      </c>
      <c r="CS10" s="100">
        <f>CS9/CS6</f>
        <v>0.33333333333333331</v>
      </c>
      <c r="CT10" s="100">
        <f>CT9/CT6</f>
        <v>0.35714285714285715</v>
      </c>
      <c r="CU10" s="100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6"/>
  <sheetViews>
    <sheetView tabSelected="1" workbookViewId="0">
      <selection activeCell="E2" sqref="E2"/>
    </sheetView>
  </sheetViews>
  <sheetFormatPr defaultRowHeight="15.65" x14ac:dyDescent="0.3"/>
  <cols>
    <col min="1" max="1" width="15" bestFit="1" customWidth="1"/>
    <col min="2" max="3" width="6.33203125" bestFit="1" customWidth="1"/>
    <col min="4" max="4" width="19.88671875" bestFit="1" customWidth="1"/>
    <col min="5" max="5" width="22.21875" bestFit="1" customWidth="1"/>
  </cols>
  <sheetData>
    <row r="1" spans="1:5" x14ac:dyDescent="0.3">
      <c r="A1" s="118" t="s">
        <v>10</v>
      </c>
      <c r="B1" s="118" t="s">
        <v>13</v>
      </c>
      <c r="C1" s="118" t="s">
        <v>14</v>
      </c>
      <c r="D1" s="118" t="s">
        <v>15</v>
      </c>
      <c r="E1" s="118" t="s">
        <v>3448</v>
      </c>
    </row>
    <row r="2" spans="1:5" x14ac:dyDescent="0.3">
      <c r="A2" s="119" t="s">
        <v>3746</v>
      </c>
      <c r="B2" s="119" t="s">
        <v>55</v>
      </c>
      <c r="C2" s="119" t="s">
        <v>1933</v>
      </c>
      <c r="D2" s="119" t="s">
        <v>3747</v>
      </c>
      <c r="E2" s="119" t="s">
        <v>3678</v>
      </c>
    </row>
    <row r="3" spans="1:5" x14ac:dyDescent="0.3">
      <c r="A3" s="119" t="s">
        <v>3746</v>
      </c>
      <c r="B3" s="119" t="s">
        <v>55</v>
      </c>
      <c r="C3" s="119" t="s">
        <v>1933</v>
      </c>
      <c r="D3" s="119" t="s">
        <v>3748</v>
      </c>
      <c r="E3" s="119" t="s">
        <v>3678</v>
      </c>
    </row>
    <row r="4" spans="1:5" x14ac:dyDescent="0.3">
      <c r="A4" s="119" t="s">
        <v>3749</v>
      </c>
      <c r="B4" s="119" t="s">
        <v>286</v>
      </c>
      <c r="C4" s="119" t="s">
        <v>546</v>
      </c>
      <c r="D4" s="119" t="s">
        <v>3750</v>
      </c>
      <c r="E4" s="119" t="s">
        <v>3677</v>
      </c>
    </row>
    <row r="5" spans="1:5" x14ac:dyDescent="0.3">
      <c r="A5" s="119" t="s">
        <v>3751</v>
      </c>
      <c r="B5" s="119" t="s">
        <v>286</v>
      </c>
      <c r="C5" s="119" t="s">
        <v>546</v>
      </c>
      <c r="D5" s="119" t="s">
        <v>3752</v>
      </c>
      <c r="E5" s="119" t="s">
        <v>3677</v>
      </c>
    </row>
    <row r="6" spans="1:5" x14ac:dyDescent="0.3">
      <c r="A6" s="119" t="s">
        <v>3753</v>
      </c>
      <c r="B6" s="119" t="s">
        <v>80</v>
      </c>
      <c r="C6" s="119" t="s">
        <v>3754</v>
      </c>
      <c r="D6" s="119" t="s">
        <v>3755</v>
      </c>
      <c r="E6" s="119" t="s">
        <v>3677</v>
      </c>
    </row>
    <row r="7" spans="1:5" x14ac:dyDescent="0.3">
      <c r="A7" s="119" t="s">
        <v>3683</v>
      </c>
      <c r="B7" s="119" t="s">
        <v>286</v>
      </c>
      <c r="C7" s="119" t="s">
        <v>287</v>
      </c>
      <c r="D7" s="119" t="s">
        <v>3685</v>
      </c>
      <c r="E7" s="119" t="s">
        <v>3678</v>
      </c>
    </row>
    <row r="8" spans="1:5" x14ac:dyDescent="0.3">
      <c r="A8" s="119" t="s">
        <v>3683</v>
      </c>
      <c r="B8" s="119" t="s">
        <v>286</v>
      </c>
      <c r="C8" s="119" t="s">
        <v>287</v>
      </c>
      <c r="D8" s="119" t="s">
        <v>3685</v>
      </c>
      <c r="E8" s="119" t="s">
        <v>3678</v>
      </c>
    </row>
    <row r="9" spans="1:5" x14ac:dyDescent="0.3">
      <c r="A9" s="119" t="s">
        <v>3693</v>
      </c>
      <c r="B9" s="119" t="s">
        <v>350</v>
      </c>
      <c r="C9" s="119" t="s">
        <v>1834</v>
      </c>
      <c r="D9" s="119" t="s">
        <v>3695</v>
      </c>
      <c r="E9" s="119" t="s">
        <v>3758</v>
      </c>
    </row>
    <row r="10" spans="1:5" x14ac:dyDescent="0.3">
      <c r="A10" s="119" t="s">
        <v>3693</v>
      </c>
      <c r="B10" s="119" t="s">
        <v>350</v>
      </c>
      <c r="C10" s="119" t="s">
        <v>1834</v>
      </c>
      <c r="D10" s="119" t="s">
        <v>3695</v>
      </c>
      <c r="E10" s="119" t="s">
        <v>3758</v>
      </c>
    </row>
    <row r="11" spans="1:5" x14ac:dyDescent="0.3">
      <c r="A11" s="119" t="s">
        <v>3598</v>
      </c>
      <c r="B11" s="119" t="s">
        <v>80</v>
      </c>
      <c r="C11" s="119" t="s">
        <v>3600</v>
      </c>
      <c r="D11" s="119" t="s">
        <v>3601</v>
      </c>
      <c r="E11" s="119" t="s">
        <v>3759</v>
      </c>
    </row>
    <row r="12" spans="1:5" x14ac:dyDescent="0.3">
      <c r="A12" s="119" t="s">
        <v>3607</v>
      </c>
      <c r="B12" s="119" t="s">
        <v>55</v>
      </c>
      <c r="C12" s="119" t="s">
        <v>3609</v>
      </c>
      <c r="D12" s="119" t="s">
        <v>3610</v>
      </c>
      <c r="E12" s="119" t="s">
        <v>3678</v>
      </c>
    </row>
    <row r="13" spans="1:5" x14ac:dyDescent="0.3">
      <c r="A13" s="119" t="s">
        <v>3607</v>
      </c>
      <c r="B13" s="119" t="s">
        <v>55</v>
      </c>
      <c r="C13" s="119" t="s">
        <v>3609</v>
      </c>
      <c r="D13" s="119" t="s">
        <v>3615</v>
      </c>
      <c r="E13" s="119" t="s">
        <v>3678</v>
      </c>
    </row>
    <row r="14" spans="1:5" x14ac:dyDescent="0.3">
      <c r="A14" s="119" t="s">
        <v>3607</v>
      </c>
      <c r="B14" s="119" t="s">
        <v>55</v>
      </c>
      <c r="C14" s="119" t="s">
        <v>3609</v>
      </c>
      <c r="D14" s="119" t="s">
        <v>3618</v>
      </c>
      <c r="E14" s="119" t="s">
        <v>3678</v>
      </c>
    </row>
    <row r="15" spans="1:5" x14ac:dyDescent="0.3">
      <c r="A15" s="119" t="s">
        <v>3104</v>
      </c>
      <c r="B15" s="119" t="s">
        <v>350</v>
      </c>
      <c r="C15" s="119" t="s">
        <v>3024</v>
      </c>
      <c r="D15" s="119" t="s">
        <v>3025</v>
      </c>
      <c r="E15" s="119" t="s">
        <v>3756</v>
      </c>
    </row>
    <row r="16" spans="1:5" x14ac:dyDescent="0.3">
      <c r="A16" s="119" t="s">
        <v>2793</v>
      </c>
      <c r="B16" s="119" t="s">
        <v>165</v>
      </c>
      <c r="C16" s="119" t="s">
        <v>2399</v>
      </c>
      <c r="D16" s="119" t="s">
        <v>2400</v>
      </c>
      <c r="E16" s="119" t="s">
        <v>3757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93"/>
  <sheetViews>
    <sheetView zoomScale="85" zoomScaleNormal="85" workbookViewId="0">
      <pane ySplit="1" topLeftCell="A933" activePane="bottomLeft" state="frozen"/>
      <selection activeCell="M2" sqref="M2:M250"/>
      <selection pane="bottomLeft" activeCell="AQ981" sqref="AQ981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3448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3099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3099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3100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3101</v>
      </c>
      <c r="L878" s="25" t="s">
        <v>3102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3103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3101</v>
      </c>
      <c r="L879" s="25" t="s">
        <v>3102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3103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3104</v>
      </c>
      <c r="L880" s="25" t="s">
        <v>3105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3106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3107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3108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3109</v>
      </c>
      <c r="L881" s="25" t="s">
        <v>3110</v>
      </c>
      <c r="M881" s="25" t="s">
        <v>54</v>
      </c>
      <c r="N881" s="25" t="s">
        <v>350</v>
      </c>
      <c r="O881" s="25" t="s">
        <v>1065</v>
      </c>
      <c r="P881" s="25" t="s">
        <v>3111</v>
      </c>
      <c r="Q881" s="25" t="s">
        <v>83</v>
      </c>
      <c r="R881" s="25" t="s">
        <v>48</v>
      </c>
      <c r="S881" s="25" t="s">
        <v>3112</v>
      </c>
      <c r="T881" s="25" t="s">
        <v>85</v>
      </c>
      <c r="U881" s="25" t="s">
        <v>206</v>
      </c>
      <c r="V881" s="25" t="s">
        <v>48</v>
      </c>
      <c r="W881" s="25" t="s">
        <v>3113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3114</v>
      </c>
      <c r="AF881" s="25" t="s">
        <v>67</v>
      </c>
      <c r="AG881" s="25" t="s">
        <v>48</v>
      </c>
      <c r="AH881" s="25" t="s">
        <v>3115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3116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3117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3118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3119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3120</v>
      </c>
      <c r="L886" s="47" t="s">
        <v>3121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3122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3123</v>
      </c>
      <c r="L887" s="25" t="s">
        <v>3124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3125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3123</v>
      </c>
      <c r="L888" s="25" t="s">
        <v>3124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3125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3126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3127</v>
      </c>
      <c r="L889" s="25" t="s">
        <v>3128</v>
      </c>
      <c r="M889" s="25" t="s">
        <v>54</v>
      </c>
      <c r="N889" s="25" t="s">
        <v>55</v>
      </c>
      <c r="O889" s="25" t="s">
        <v>560</v>
      </c>
      <c r="P889" s="25" t="s">
        <v>3129</v>
      </c>
      <c r="Q889" s="25" t="s">
        <v>57</v>
      </c>
      <c r="R889" s="25" t="s">
        <v>48</v>
      </c>
      <c r="S889" s="25" t="s">
        <v>3130</v>
      </c>
      <c r="T889" s="25" t="s">
        <v>59</v>
      </c>
      <c r="U889" s="25" t="s">
        <v>398</v>
      </c>
      <c r="V889" s="25" t="s">
        <v>48</v>
      </c>
      <c r="W889" s="25" t="s">
        <v>3131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3132</v>
      </c>
      <c r="AF889" s="25" t="s">
        <v>67</v>
      </c>
      <c r="AG889" s="25" t="s">
        <v>48</v>
      </c>
      <c r="AH889" s="25" t="s">
        <v>3133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3134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3135</v>
      </c>
      <c r="L890" s="25" t="s">
        <v>3136</v>
      </c>
      <c r="M890" s="25" t="s">
        <v>54</v>
      </c>
      <c r="N890" s="25" t="s">
        <v>350</v>
      </c>
      <c r="O890" s="25" t="s">
        <v>971</v>
      </c>
      <c r="P890" s="25" t="s">
        <v>3137</v>
      </c>
      <c r="Q890" s="25" t="s">
        <v>57</v>
      </c>
      <c r="R890" s="25" t="s">
        <v>48</v>
      </c>
      <c r="S890" s="25" t="s">
        <v>3138</v>
      </c>
      <c r="T890" s="25" t="s">
        <v>59</v>
      </c>
      <c r="U890" s="25" t="s">
        <v>195</v>
      </c>
      <c r="V890" s="25" t="s">
        <v>48</v>
      </c>
      <c r="W890" s="25" t="s">
        <v>3139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3137</v>
      </c>
      <c r="AF890" s="25" t="s">
        <v>67</v>
      </c>
      <c r="AG890" s="25" t="s">
        <v>48</v>
      </c>
      <c r="AH890" s="25" t="s">
        <v>3140</v>
      </c>
      <c r="AI890" s="25" t="s">
        <v>48</v>
      </c>
      <c r="AJ890" s="25" t="s">
        <v>48</v>
      </c>
      <c r="AK890" s="25" t="s">
        <v>48</v>
      </c>
      <c r="AL890" s="45" t="s">
        <v>3259</v>
      </c>
      <c r="AM890" s="45"/>
      <c r="AN890" s="45"/>
      <c r="AO890" s="45"/>
      <c r="AP890" s="45" t="s">
        <v>3260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3141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3142</v>
      </c>
      <c r="L891" s="25" t="s">
        <v>3143</v>
      </c>
      <c r="M891" s="25" t="s">
        <v>54</v>
      </c>
      <c r="N891" s="25" t="s">
        <v>350</v>
      </c>
      <c r="O891" s="25" t="s">
        <v>971</v>
      </c>
      <c r="P891" s="25" t="s">
        <v>3144</v>
      </c>
      <c r="Q891" s="25" t="s">
        <v>83</v>
      </c>
      <c r="R891" s="25" t="s">
        <v>48</v>
      </c>
      <c r="S891" s="25" t="s">
        <v>3145</v>
      </c>
      <c r="T891" s="25" t="s">
        <v>85</v>
      </c>
      <c r="U891" s="25" t="s">
        <v>354</v>
      </c>
      <c r="V891" s="25" t="s">
        <v>48</v>
      </c>
      <c r="W891" s="25" t="s">
        <v>3146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3137</v>
      </c>
      <c r="AF891" s="25" t="s">
        <v>67</v>
      </c>
      <c r="AG891" s="25" t="s">
        <v>48</v>
      </c>
      <c r="AH891" s="25" t="s">
        <v>3147</v>
      </c>
      <c r="AI891" s="25" t="s">
        <v>48</v>
      </c>
      <c r="AJ891" s="25" t="s">
        <v>48</v>
      </c>
      <c r="AK891" s="25" t="s">
        <v>48</v>
      </c>
      <c r="AL891" s="45" t="s">
        <v>3259</v>
      </c>
      <c r="AM891" s="45" t="s">
        <v>48</v>
      </c>
      <c r="AN891" s="45"/>
      <c r="AO891" s="45" t="s">
        <v>48</v>
      </c>
      <c r="AP891" s="45" t="s">
        <v>3260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3148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3149</v>
      </c>
      <c r="L892" s="25" t="s">
        <v>3150</v>
      </c>
      <c r="M892" s="25" t="s">
        <v>54</v>
      </c>
      <c r="N892" s="25" t="s">
        <v>350</v>
      </c>
      <c r="O892" s="25" t="s">
        <v>971</v>
      </c>
      <c r="P892" s="25" t="s">
        <v>3151</v>
      </c>
      <c r="Q892" s="25" t="s">
        <v>83</v>
      </c>
      <c r="R892" s="25" t="s">
        <v>48</v>
      </c>
      <c r="S892" s="25" t="s">
        <v>3152</v>
      </c>
      <c r="T892" s="25" t="s">
        <v>85</v>
      </c>
      <c r="U892" s="25" t="s">
        <v>354</v>
      </c>
      <c r="V892" s="25" t="s">
        <v>48</v>
      </c>
      <c r="W892" s="25" t="s">
        <v>3146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3137</v>
      </c>
      <c r="AF892" s="25" t="s">
        <v>67</v>
      </c>
      <c r="AG892" s="25" t="s">
        <v>48</v>
      </c>
      <c r="AH892" s="25" t="s">
        <v>3153</v>
      </c>
      <c r="AI892" s="25" t="s">
        <v>48</v>
      </c>
      <c r="AJ892" s="25" t="s">
        <v>48</v>
      </c>
      <c r="AK892" s="25" t="s">
        <v>48</v>
      </c>
      <c r="AL892" s="45" t="s">
        <v>3259</v>
      </c>
      <c r="AM892" s="45" t="s">
        <v>48</v>
      </c>
      <c r="AN892" s="45"/>
      <c r="AO892" s="45" t="s">
        <v>48</v>
      </c>
      <c r="AP892" s="45" t="s">
        <v>3260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3104</v>
      </c>
      <c r="L893" s="25" t="s">
        <v>3154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3106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3107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3108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3109</v>
      </c>
      <c r="L894" s="47" t="s">
        <v>3155</v>
      </c>
      <c r="M894" s="47" t="s">
        <v>54</v>
      </c>
      <c r="N894" s="47" t="s">
        <v>350</v>
      </c>
      <c r="O894" s="47" t="s">
        <v>1065</v>
      </c>
      <c r="P894" s="47" t="s">
        <v>3111</v>
      </c>
      <c r="Q894" s="47" t="s">
        <v>83</v>
      </c>
      <c r="R894" s="47" t="s">
        <v>48</v>
      </c>
      <c r="S894" s="47" t="s">
        <v>3112</v>
      </c>
      <c r="T894" s="47" t="s">
        <v>85</v>
      </c>
      <c r="U894" s="47" t="s">
        <v>206</v>
      </c>
      <c r="V894" s="47" t="s">
        <v>48</v>
      </c>
      <c r="W894" s="47" t="s">
        <v>3113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3114</v>
      </c>
      <c r="AF894" s="47" t="s">
        <v>67</v>
      </c>
      <c r="AG894" s="47" t="s">
        <v>48</v>
      </c>
      <c r="AH894" s="47" t="s">
        <v>3115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3156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3157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8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3158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9" t="s">
        <v>133</v>
      </c>
      <c r="AM897" s="80" t="s">
        <v>134</v>
      </c>
      <c r="AN897" s="80" t="s">
        <v>134</v>
      </c>
      <c r="AO897" s="80"/>
      <c r="AP897" s="80" t="s">
        <v>135</v>
      </c>
      <c r="AQ897" s="81"/>
      <c r="AR897" s="82"/>
      <c r="AS897" s="82"/>
      <c r="AT897" s="81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5" t="s">
        <v>3261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3262</v>
      </c>
      <c r="L898" s="42" t="s">
        <v>3263</v>
      </c>
      <c r="M898" s="42" t="s">
        <v>54</v>
      </c>
      <c r="N898" s="42" t="s">
        <v>55</v>
      </c>
      <c r="O898" s="42" t="s">
        <v>833</v>
      </c>
      <c r="P898" s="42" t="s">
        <v>3264</v>
      </c>
      <c r="Q898" s="42" t="s">
        <v>83</v>
      </c>
      <c r="R898" s="42" t="s">
        <v>48</v>
      </c>
      <c r="S898" s="42" t="s">
        <v>3265</v>
      </c>
      <c r="T898" s="42" t="s">
        <v>85</v>
      </c>
      <c r="U898" s="42" t="s">
        <v>1543</v>
      </c>
      <c r="V898" s="42" t="s">
        <v>48</v>
      </c>
      <c r="W898" s="42" t="s">
        <v>3266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3267</v>
      </c>
      <c r="AF898" s="42" t="s">
        <v>67</v>
      </c>
      <c r="AG898" s="42" t="s">
        <v>48</v>
      </c>
      <c r="AH898" s="42" t="s">
        <v>3268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6"/>
      <c r="AR898" s="77"/>
      <c r="AS898" s="77"/>
      <c r="AT898" s="76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3269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3270</v>
      </c>
      <c r="L899" s="62" t="s">
        <v>3271</v>
      </c>
      <c r="M899" s="62" t="s">
        <v>54</v>
      </c>
      <c r="N899" s="62" t="s">
        <v>55</v>
      </c>
      <c r="O899" s="62" t="s">
        <v>428</v>
      </c>
      <c r="P899" s="62" t="s">
        <v>3272</v>
      </c>
      <c r="Q899" s="62" t="s">
        <v>57</v>
      </c>
      <c r="R899" s="62" t="s">
        <v>48</v>
      </c>
      <c r="S899" s="62" t="s">
        <v>3273</v>
      </c>
      <c r="T899" s="62" t="s">
        <v>59</v>
      </c>
      <c r="U899" s="62" t="s">
        <v>747</v>
      </c>
      <c r="V899" s="62" t="s">
        <v>48</v>
      </c>
      <c r="W899" s="62" t="s">
        <v>3274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3275</v>
      </c>
      <c r="AF899" s="62" t="s">
        <v>67</v>
      </c>
      <c r="AG899" s="62" t="s">
        <v>48</v>
      </c>
      <c r="AH899" s="62" t="s">
        <v>3276</v>
      </c>
      <c r="AI899" s="62" t="s">
        <v>48</v>
      </c>
      <c r="AJ899" s="62" t="s">
        <v>48</v>
      </c>
      <c r="AK899" s="62" t="s">
        <v>48</v>
      </c>
      <c r="AL899" s="74" t="s">
        <v>69</v>
      </c>
      <c r="AM899" s="74" t="s">
        <v>48</v>
      </c>
      <c r="AN899" s="74"/>
      <c r="AO899" s="74" t="s">
        <v>48</v>
      </c>
      <c r="AP899" s="74" t="s">
        <v>3314</v>
      </c>
      <c r="AQ899" s="65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3277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3270</v>
      </c>
      <c r="L900" s="62" t="s">
        <v>3271</v>
      </c>
      <c r="M900" s="62" t="s">
        <v>54</v>
      </c>
      <c r="N900" s="62" t="s">
        <v>55</v>
      </c>
      <c r="O900" s="62" t="s">
        <v>428</v>
      </c>
      <c r="P900" s="62" t="s">
        <v>3272</v>
      </c>
      <c r="Q900" s="62" t="s">
        <v>57</v>
      </c>
      <c r="R900" s="62" t="s">
        <v>48</v>
      </c>
      <c r="S900" s="62" t="s">
        <v>3278</v>
      </c>
      <c r="T900" s="62" t="s">
        <v>59</v>
      </c>
      <c r="U900" s="62" t="s">
        <v>747</v>
      </c>
      <c r="V900" s="62" t="s">
        <v>48</v>
      </c>
      <c r="W900" s="62" t="s">
        <v>3274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3275</v>
      </c>
      <c r="AF900" s="62" t="s">
        <v>67</v>
      </c>
      <c r="AG900" s="62" t="s">
        <v>48</v>
      </c>
      <c r="AH900" s="62" t="s">
        <v>3276</v>
      </c>
      <c r="AI900" s="62" t="s">
        <v>48</v>
      </c>
      <c r="AJ900" s="62" t="s">
        <v>48</v>
      </c>
      <c r="AK900" s="62" t="s">
        <v>48</v>
      </c>
      <c r="AL900" s="74" t="s">
        <v>69</v>
      </c>
      <c r="AM900" s="74" t="s">
        <v>48</v>
      </c>
      <c r="AN900" s="74"/>
      <c r="AO900" s="74" t="s">
        <v>48</v>
      </c>
      <c r="AP900" s="74" t="s">
        <v>3314</v>
      </c>
      <c r="AQ900" s="65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3279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3280</v>
      </c>
      <c r="L901" s="62" t="s">
        <v>3281</v>
      </c>
      <c r="M901" s="62" t="s">
        <v>54</v>
      </c>
      <c r="N901" s="62" t="s">
        <v>607</v>
      </c>
      <c r="O901" s="62" t="s">
        <v>2194</v>
      </c>
      <c r="P901" s="62" t="s">
        <v>3282</v>
      </c>
      <c r="Q901" s="62" t="s">
        <v>57</v>
      </c>
      <c r="R901" s="62" t="s">
        <v>48</v>
      </c>
      <c r="S901" s="62" t="s">
        <v>3283</v>
      </c>
      <c r="T901" s="62" t="s">
        <v>59</v>
      </c>
      <c r="U901" s="62" t="s">
        <v>669</v>
      </c>
      <c r="V901" s="62" t="s">
        <v>48</v>
      </c>
      <c r="W901" s="62" t="s">
        <v>3284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3285</v>
      </c>
      <c r="AF901" s="62" t="s">
        <v>67</v>
      </c>
      <c r="AG901" s="62" t="s">
        <v>48</v>
      </c>
      <c r="AH901" s="62" t="s">
        <v>3286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65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73" t="s">
        <v>3126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3127</v>
      </c>
      <c r="L902" s="64" t="s">
        <v>3287</v>
      </c>
      <c r="M902" s="64" t="s">
        <v>54</v>
      </c>
      <c r="N902" s="64" t="s">
        <v>55</v>
      </c>
      <c r="O902" s="64" t="s">
        <v>560</v>
      </c>
      <c r="P902" s="64" t="s">
        <v>3129</v>
      </c>
      <c r="Q902" s="64" t="s">
        <v>57</v>
      </c>
      <c r="R902" s="64" t="s">
        <v>48</v>
      </c>
      <c r="S902" s="64" t="s">
        <v>3130</v>
      </c>
      <c r="T902" s="64" t="s">
        <v>59</v>
      </c>
      <c r="U902" s="64" t="s">
        <v>398</v>
      </c>
      <c r="V902" s="64" t="s">
        <v>48</v>
      </c>
      <c r="W902" s="64" t="s">
        <v>3131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3132</v>
      </c>
      <c r="AF902" s="64" t="s">
        <v>67</v>
      </c>
      <c r="AG902" s="64" t="s">
        <v>48</v>
      </c>
      <c r="AH902" s="64" t="s">
        <v>3133</v>
      </c>
      <c r="AI902" s="64" t="s">
        <v>48</v>
      </c>
      <c r="AJ902" s="64" t="s">
        <v>48</v>
      </c>
      <c r="AK902" s="64" t="s">
        <v>48</v>
      </c>
      <c r="AL902" s="74" t="s">
        <v>69</v>
      </c>
      <c r="AM902" s="74" t="s">
        <v>48</v>
      </c>
      <c r="AN902" s="74"/>
      <c r="AO902" s="74" t="s">
        <v>48</v>
      </c>
      <c r="AP902" s="74" t="s">
        <v>3313</v>
      </c>
      <c r="AQ902" s="65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3134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3135</v>
      </c>
      <c r="L903" s="64" t="s">
        <v>3288</v>
      </c>
      <c r="M903" s="64" t="s">
        <v>54</v>
      </c>
      <c r="N903" s="64" t="s">
        <v>350</v>
      </c>
      <c r="O903" s="64" t="s">
        <v>971</v>
      </c>
      <c r="P903" s="64" t="s">
        <v>3137</v>
      </c>
      <c r="Q903" s="64" t="s">
        <v>57</v>
      </c>
      <c r="R903" s="64" t="s">
        <v>48</v>
      </c>
      <c r="S903" s="64" t="s">
        <v>3138</v>
      </c>
      <c r="T903" s="64" t="s">
        <v>59</v>
      </c>
      <c r="U903" s="64" t="s">
        <v>195</v>
      </c>
      <c r="V903" s="64" t="s">
        <v>48</v>
      </c>
      <c r="W903" s="64" t="s">
        <v>3139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3137</v>
      </c>
      <c r="AF903" s="64" t="s">
        <v>67</v>
      </c>
      <c r="AG903" s="64" t="s">
        <v>48</v>
      </c>
      <c r="AH903" s="64" t="s">
        <v>3140</v>
      </c>
      <c r="AI903" s="64" t="s">
        <v>48</v>
      </c>
      <c r="AJ903" s="64" t="s">
        <v>48</v>
      </c>
      <c r="AK903" s="64" t="s">
        <v>48</v>
      </c>
      <c r="AL903" s="45" t="s">
        <v>3259</v>
      </c>
      <c r="AM903" s="45"/>
      <c r="AN903" s="45"/>
      <c r="AO903" s="45"/>
      <c r="AP903" s="45" t="s">
        <v>3260</v>
      </c>
      <c r="AQ903" s="65"/>
      <c r="AR903" s="66"/>
      <c r="AS903" s="66"/>
      <c r="AT903" s="65"/>
    </row>
    <row r="904" spans="1:46" ht="15.65" x14ac:dyDescent="0.3">
      <c r="A904" s="101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3141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3142</v>
      </c>
      <c r="L904" s="64" t="s">
        <v>3289</v>
      </c>
      <c r="M904" s="64" t="s">
        <v>54</v>
      </c>
      <c r="N904" s="64" t="s">
        <v>350</v>
      </c>
      <c r="O904" s="64" t="s">
        <v>971</v>
      </c>
      <c r="P904" s="64" t="s">
        <v>3144</v>
      </c>
      <c r="Q904" s="64" t="s">
        <v>83</v>
      </c>
      <c r="R904" s="64" t="s">
        <v>48</v>
      </c>
      <c r="S904" s="64" t="s">
        <v>3145</v>
      </c>
      <c r="T904" s="64" t="s">
        <v>85</v>
      </c>
      <c r="U904" s="64" t="s">
        <v>354</v>
      </c>
      <c r="V904" s="64" t="s">
        <v>48</v>
      </c>
      <c r="W904" s="64" t="s">
        <v>3146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3137</v>
      </c>
      <c r="AF904" s="64" t="s">
        <v>67</v>
      </c>
      <c r="AG904" s="64" t="s">
        <v>48</v>
      </c>
      <c r="AH904" s="64" t="s">
        <v>3147</v>
      </c>
      <c r="AI904" s="64" t="s">
        <v>48</v>
      </c>
      <c r="AJ904" s="64" t="s">
        <v>48</v>
      </c>
      <c r="AK904" s="64" t="s">
        <v>48</v>
      </c>
      <c r="AL904" s="74" t="s">
        <v>3259</v>
      </c>
      <c r="AM904" s="74"/>
      <c r="AN904" s="74"/>
      <c r="AO904" s="74"/>
      <c r="AP904" s="74" t="s">
        <v>3260</v>
      </c>
      <c r="AQ904" s="65"/>
      <c r="AR904" s="66"/>
      <c r="AS904" s="66"/>
      <c r="AT904" s="65"/>
    </row>
    <row r="905" spans="1:46" ht="15.65" x14ac:dyDescent="0.3">
      <c r="A905" s="101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3148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3149</v>
      </c>
      <c r="L905" s="64" t="s">
        <v>3290</v>
      </c>
      <c r="M905" s="64" t="s">
        <v>54</v>
      </c>
      <c r="N905" s="64" t="s">
        <v>350</v>
      </c>
      <c r="O905" s="64" t="s">
        <v>971</v>
      </c>
      <c r="P905" s="64" t="s">
        <v>3151</v>
      </c>
      <c r="Q905" s="64" t="s">
        <v>83</v>
      </c>
      <c r="R905" s="64" t="s">
        <v>48</v>
      </c>
      <c r="S905" s="64" t="s">
        <v>3152</v>
      </c>
      <c r="T905" s="64" t="s">
        <v>85</v>
      </c>
      <c r="U905" s="64" t="s">
        <v>354</v>
      </c>
      <c r="V905" s="64" t="s">
        <v>48</v>
      </c>
      <c r="W905" s="64" t="s">
        <v>3146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3137</v>
      </c>
      <c r="AF905" s="64" t="s">
        <v>67</v>
      </c>
      <c r="AG905" s="64" t="s">
        <v>48</v>
      </c>
      <c r="AH905" s="64" t="s">
        <v>3153</v>
      </c>
      <c r="AI905" s="64" t="s">
        <v>48</v>
      </c>
      <c r="AJ905" s="64" t="s">
        <v>48</v>
      </c>
      <c r="AK905" s="64" t="s">
        <v>48</v>
      </c>
      <c r="AL905" s="74" t="s">
        <v>3259</v>
      </c>
      <c r="AM905" s="74"/>
      <c r="AN905" s="74"/>
      <c r="AO905" s="74"/>
      <c r="AP905" s="74" t="s">
        <v>3260</v>
      </c>
      <c r="AQ905" s="65"/>
      <c r="AR905" s="66"/>
      <c r="AS905" s="66"/>
      <c r="AT905" s="65"/>
    </row>
    <row r="906" spans="1:46" ht="15.65" x14ac:dyDescent="0.3">
      <c r="A906" s="101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3104</v>
      </c>
      <c r="L906" s="64" t="s">
        <v>3291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3106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3107</v>
      </c>
      <c r="AI906" s="64" t="s">
        <v>48</v>
      </c>
      <c r="AJ906" s="64" t="s">
        <v>48</v>
      </c>
      <c r="AK906" s="64" t="s">
        <v>48</v>
      </c>
      <c r="AL906" s="102" t="s">
        <v>133</v>
      </c>
      <c r="AM906" s="103" t="s">
        <v>134</v>
      </c>
      <c r="AN906" s="103"/>
      <c r="AO906" s="103"/>
      <c r="AP906" s="103" t="s">
        <v>246</v>
      </c>
      <c r="AQ906" s="65"/>
      <c r="AR906" s="66"/>
      <c r="AS906" s="66"/>
      <c r="AT906" s="65"/>
    </row>
    <row r="907" spans="1:46" ht="15.65" x14ac:dyDescent="0.3">
      <c r="A907" s="101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3108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3109</v>
      </c>
      <c r="L907" s="64" t="s">
        <v>3292</v>
      </c>
      <c r="M907" s="64" t="s">
        <v>54</v>
      </c>
      <c r="N907" s="64" t="s">
        <v>350</v>
      </c>
      <c r="O907" s="64" t="s">
        <v>1065</v>
      </c>
      <c r="P907" s="64" t="s">
        <v>3111</v>
      </c>
      <c r="Q907" s="64" t="s">
        <v>83</v>
      </c>
      <c r="R907" s="64" t="s">
        <v>48</v>
      </c>
      <c r="S907" s="64" t="s">
        <v>3112</v>
      </c>
      <c r="T907" s="64" t="s">
        <v>85</v>
      </c>
      <c r="U907" s="64" t="s">
        <v>206</v>
      </c>
      <c r="V907" s="64" t="s">
        <v>48</v>
      </c>
      <c r="W907" s="64" t="s">
        <v>3113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3114</v>
      </c>
      <c r="AF907" s="64" t="s">
        <v>67</v>
      </c>
      <c r="AG907" s="64" t="s">
        <v>48</v>
      </c>
      <c r="AH907" s="64" t="s">
        <v>3115</v>
      </c>
      <c r="AI907" s="64" t="s">
        <v>48</v>
      </c>
      <c r="AJ907" s="64" t="s">
        <v>48</v>
      </c>
      <c r="AK907" s="64" t="s">
        <v>48</v>
      </c>
      <c r="AL907" s="102" t="s">
        <v>516</v>
      </c>
      <c r="AM907" s="63" t="s">
        <v>702</v>
      </c>
      <c r="AN907" s="63"/>
      <c r="AO907" s="63" t="s">
        <v>48</v>
      </c>
      <c r="AP907" s="63" t="s">
        <v>1167</v>
      </c>
      <c r="AQ907" s="65"/>
      <c r="AR907" s="66"/>
      <c r="AS907" s="66"/>
      <c r="AT907" s="65"/>
    </row>
    <row r="908" spans="1:46" ht="15.65" x14ac:dyDescent="0.3">
      <c r="A908" s="101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3293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102" t="s">
        <v>516</v>
      </c>
      <c r="AM908" s="103" t="s">
        <v>134</v>
      </c>
      <c r="AN908" s="103"/>
      <c r="AO908" s="103"/>
      <c r="AP908" s="103" t="s">
        <v>246</v>
      </c>
      <c r="AQ908" s="65"/>
      <c r="AR908" s="66"/>
      <c r="AS908" s="66"/>
      <c r="AT908" s="65"/>
    </row>
    <row r="909" spans="1:46" ht="16.3" thickBot="1" x14ac:dyDescent="0.35">
      <c r="A909" s="78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3294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9" t="s">
        <v>133</v>
      </c>
      <c r="AM909" s="80" t="s">
        <v>134</v>
      </c>
      <c r="AN909" s="80" t="s">
        <v>134</v>
      </c>
      <c r="AO909" s="80"/>
      <c r="AP909" s="80" t="s">
        <v>135</v>
      </c>
      <c r="AQ909" s="65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3330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3331</v>
      </c>
      <c r="L910" s="42" t="s">
        <v>3332</v>
      </c>
      <c r="M910" s="42" t="s">
        <v>54</v>
      </c>
      <c r="N910" s="42" t="s">
        <v>179</v>
      </c>
      <c r="O910" s="42" t="s">
        <v>180</v>
      </c>
      <c r="P910" s="42" t="s">
        <v>3333</v>
      </c>
      <c r="Q910" s="42" t="s">
        <v>83</v>
      </c>
      <c r="R910" s="42" t="s">
        <v>48</v>
      </c>
      <c r="S910" s="42" t="s">
        <v>3334</v>
      </c>
      <c r="T910" s="42" t="s">
        <v>85</v>
      </c>
      <c r="U910" s="42" t="s">
        <v>86</v>
      </c>
      <c r="V910" s="42" t="s">
        <v>48</v>
      </c>
      <c r="W910" s="42" t="s">
        <v>3335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3336</v>
      </c>
      <c r="AF910" s="42" t="s">
        <v>67</v>
      </c>
      <c r="AG910" s="42" t="s">
        <v>48</v>
      </c>
      <c r="AH910" s="42" t="s">
        <v>3337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3366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3338</v>
      </c>
      <c r="L911" s="62" t="s">
        <v>3339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3340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3338</v>
      </c>
      <c r="L912" s="62" t="s">
        <v>3339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3340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3341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3342</v>
      </c>
      <c r="L913" s="62" t="s">
        <v>3343</v>
      </c>
      <c r="M913" s="62" t="s">
        <v>54</v>
      </c>
      <c r="N913" s="62" t="s">
        <v>286</v>
      </c>
      <c r="O913" s="62" t="s">
        <v>3344</v>
      </c>
      <c r="P913" s="62" t="s">
        <v>3345</v>
      </c>
      <c r="Q913" s="62" t="s">
        <v>57</v>
      </c>
      <c r="R913" s="62" t="s">
        <v>48</v>
      </c>
      <c r="S913" s="62" t="s">
        <v>3346</v>
      </c>
      <c r="T913" s="62" t="s">
        <v>59</v>
      </c>
      <c r="U913" s="62" t="s">
        <v>338</v>
      </c>
      <c r="V913" s="62" t="s">
        <v>48</v>
      </c>
      <c r="W913" s="62" t="s">
        <v>3347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3348</v>
      </c>
      <c r="AF913" s="62" t="s">
        <v>67</v>
      </c>
      <c r="AG913" s="62" t="s">
        <v>48</v>
      </c>
      <c r="AH913" s="62" t="s">
        <v>3349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3365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3279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3350</v>
      </c>
      <c r="L914" s="62" t="s">
        <v>3351</v>
      </c>
      <c r="M914" s="62" t="s">
        <v>54</v>
      </c>
      <c r="N914" s="62" t="s">
        <v>607</v>
      </c>
      <c r="O914" s="62" t="s">
        <v>2194</v>
      </c>
      <c r="P914" s="62" t="s">
        <v>3282</v>
      </c>
      <c r="Q914" s="62" t="s">
        <v>57</v>
      </c>
      <c r="R914" s="62" t="s">
        <v>48</v>
      </c>
      <c r="S914" s="62" t="s">
        <v>3352</v>
      </c>
      <c r="T914" s="62" t="s">
        <v>59</v>
      </c>
      <c r="U914" s="62" t="s">
        <v>332</v>
      </c>
      <c r="V914" s="62" t="s">
        <v>48</v>
      </c>
      <c r="W914" s="62" t="s">
        <v>3284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3285</v>
      </c>
      <c r="AF914" s="62" t="s">
        <v>67</v>
      </c>
      <c r="AG914" s="62" t="s">
        <v>48</v>
      </c>
      <c r="AH914" s="62" t="s">
        <v>3353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3134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3135</v>
      </c>
      <c r="L915" s="64" t="s">
        <v>3354</v>
      </c>
      <c r="M915" s="64" t="s">
        <v>54</v>
      </c>
      <c r="N915" s="64" t="s">
        <v>350</v>
      </c>
      <c r="O915" s="64" t="s">
        <v>971</v>
      </c>
      <c r="P915" s="64" t="s">
        <v>3137</v>
      </c>
      <c r="Q915" s="64" t="s">
        <v>57</v>
      </c>
      <c r="R915" s="64" t="s">
        <v>48</v>
      </c>
      <c r="S915" s="64" t="s">
        <v>3138</v>
      </c>
      <c r="T915" s="64" t="s">
        <v>59</v>
      </c>
      <c r="U915" s="64" t="s">
        <v>195</v>
      </c>
      <c r="V915" s="64" t="s">
        <v>48</v>
      </c>
      <c r="W915" s="64" t="s">
        <v>3139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3137</v>
      </c>
      <c r="AF915" s="64" t="s">
        <v>67</v>
      </c>
      <c r="AG915" s="64" t="s">
        <v>48</v>
      </c>
      <c r="AH915" s="64" t="s">
        <v>3140</v>
      </c>
      <c r="AI915" s="64" t="s">
        <v>48</v>
      </c>
      <c r="AJ915" s="64" t="s">
        <v>48</v>
      </c>
      <c r="AK915" s="64" t="s">
        <v>48</v>
      </c>
      <c r="AL915" s="63" t="s">
        <v>3361</v>
      </c>
      <c r="AM915" s="63"/>
      <c r="AN915" s="63"/>
      <c r="AO915" s="63"/>
      <c r="AP915" s="63" t="s">
        <v>3362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3141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3142</v>
      </c>
      <c r="L916" s="64" t="s">
        <v>3355</v>
      </c>
      <c r="M916" s="64" t="s">
        <v>54</v>
      </c>
      <c r="N916" s="64" t="s">
        <v>350</v>
      </c>
      <c r="O916" s="64" t="s">
        <v>971</v>
      </c>
      <c r="P916" s="64" t="s">
        <v>3144</v>
      </c>
      <c r="Q916" s="64" t="s">
        <v>83</v>
      </c>
      <c r="R916" s="64" t="s">
        <v>48</v>
      </c>
      <c r="S916" s="64" t="s">
        <v>3145</v>
      </c>
      <c r="T916" s="64" t="s">
        <v>85</v>
      </c>
      <c r="U916" s="64" t="s">
        <v>354</v>
      </c>
      <c r="V916" s="64" t="s">
        <v>48</v>
      </c>
      <c r="W916" s="64" t="s">
        <v>3146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3137</v>
      </c>
      <c r="AF916" s="64" t="s">
        <v>67</v>
      </c>
      <c r="AG916" s="64" t="s">
        <v>48</v>
      </c>
      <c r="AH916" s="64" t="s">
        <v>3147</v>
      </c>
      <c r="AI916" s="64" t="s">
        <v>48</v>
      </c>
      <c r="AJ916" s="64" t="s">
        <v>48</v>
      </c>
      <c r="AK916" s="64" t="s">
        <v>48</v>
      </c>
      <c r="AL916" s="63" t="s">
        <v>3361</v>
      </c>
      <c r="AM916" s="63"/>
      <c r="AN916" s="63"/>
      <c r="AO916" s="63"/>
      <c r="AP916" s="63" t="s">
        <v>3362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3148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3149</v>
      </c>
      <c r="L917" s="64" t="s">
        <v>3356</v>
      </c>
      <c r="M917" s="64" t="s">
        <v>54</v>
      </c>
      <c r="N917" s="64" t="s">
        <v>350</v>
      </c>
      <c r="O917" s="64" t="s">
        <v>971</v>
      </c>
      <c r="P917" s="64" t="s">
        <v>3151</v>
      </c>
      <c r="Q917" s="64" t="s">
        <v>83</v>
      </c>
      <c r="R917" s="64" t="s">
        <v>48</v>
      </c>
      <c r="S917" s="64" t="s">
        <v>3152</v>
      </c>
      <c r="T917" s="64" t="s">
        <v>85</v>
      </c>
      <c r="U917" s="64" t="s">
        <v>354</v>
      </c>
      <c r="V917" s="64" t="s">
        <v>48</v>
      </c>
      <c r="W917" s="64" t="s">
        <v>3146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3137</v>
      </c>
      <c r="AF917" s="64" t="s">
        <v>67</v>
      </c>
      <c r="AG917" s="64" t="s">
        <v>48</v>
      </c>
      <c r="AH917" s="64" t="s">
        <v>3153</v>
      </c>
      <c r="AI917" s="64" t="s">
        <v>48</v>
      </c>
      <c r="AJ917" s="64" t="s">
        <v>48</v>
      </c>
      <c r="AK917" s="64" t="s">
        <v>48</v>
      </c>
      <c r="AL917" s="63" t="s">
        <v>3361</v>
      </c>
      <c r="AM917" s="63"/>
      <c r="AN917" s="63"/>
      <c r="AO917" s="63"/>
      <c r="AP917" s="63" t="s">
        <v>3362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3104</v>
      </c>
      <c r="L918" s="64" t="s">
        <v>3357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3106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3107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3108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3109</v>
      </c>
      <c r="L919" s="64" t="s">
        <v>3358</v>
      </c>
      <c r="M919" s="64" t="s">
        <v>54</v>
      </c>
      <c r="N919" s="64" t="s">
        <v>350</v>
      </c>
      <c r="O919" s="64" t="s">
        <v>1065</v>
      </c>
      <c r="P919" s="64" t="s">
        <v>3111</v>
      </c>
      <c r="Q919" s="64" t="s">
        <v>83</v>
      </c>
      <c r="R919" s="64" t="s">
        <v>48</v>
      </c>
      <c r="S919" s="64" t="s">
        <v>3112</v>
      </c>
      <c r="T919" s="64" t="s">
        <v>85</v>
      </c>
      <c r="U919" s="64" t="s">
        <v>206</v>
      </c>
      <c r="V919" s="64" t="s">
        <v>48</v>
      </c>
      <c r="W919" s="64" t="s">
        <v>3113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3114</v>
      </c>
      <c r="AF919" s="64" t="s">
        <v>67</v>
      </c>
      <c r="AG919" s="64" t="s">
        <v>48</v>
      </c>
      <c r="AH919" s="64" t="s">
        <v>3115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101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3359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05"/>
      <c r="AR920" s="106"/>
      <c r="AS920" s="106"/>
      <c r="AT920" s="105"/>
    </row>
    <row r="921" spans="1:46" ht="16.3" thickBot="1" x14ac:dyDescent="0.35">
      <c r="A921" s="78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3360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7"/>
      <c r="AR921" s="108"/>
      <c r="AS921" s="108"/>
      <c r="AT921" s="107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3367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3368</v>
      </c>
      <c r="L922" s="42" t="s">
        <v>3369</v>
      </c>
      <c r="M922" s="42" t="s">
        <v>54</v>
      </c>
      <c r="N922" s="42" t="s">
        <v>55</v>
      </c>
      <c r="O922" s="42" t="s">
        <v>2471</v>
      </c>
      <c r="P922" s="42" t="s">
        <v>3370</v>
      </c>
      <c r="Q922" s="42" t="s">
        <v>83</v>
      </c>
      <c r="R922" s="42" t="s">
        <v>48</v>
      </c>
      <c r="S922" s="42" t="s">
        <v>3371</v>
      </c>
      <c r="T922" s="42" t="s">
        <v>85</v>
      </c>
      <c r="U922" s="42" t="s">
        <v>335</v>
      </c>
      <c r="V922" s="42" t="s">
        <v>48</v>
      </c>
      <c r="W922" s="42" t="s">
        <v>3372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3373</v>
      </c>
      <c r="AF922" s="42" t="s">
        <v>67</v>
      </c>
      <c r="AG922" s="42" t="s">
        <v>48</v>
      </c>
      <c r="AH922" s="42" t="s">
        <v>3374</v>
      </c>
      <c r="AI922" s="42" t="s">
        <v>48</v>
      </c>
      <c r="AJ922" s="42" t="s">
        <v>48</v>
      </c>
      <c r="AK922" s="42" t="s">
        <v>48</v>
      </c>
      <c r="AL922" s="74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3375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3376</v>
      </c>
      <c r="L923" s="62" t="s">
        <v>3377</v>
      </c>
      <c r="M923" s="62" t="s">
        <v>54</v>
      </c>
      <c r="N923" s="62" t="s">
        <v>55</v>
      </c>
      <c r="O923" s="62" t="s">
        <v>2471</v>
      </c>
      <c r="P923" s="62" t="s">
        <v>3378</v>
      </c>
      <c r="Q923" s="62" t="s">
        <v>57</v>
      </c>
      <c r="R923" s="62" t="s">
        <v>48</v>
      </c>
      <c r="S923" s="62" t="s">
        <v>3379</v>
      </c>
      <c r="T923" s="62" t="s">
        <v>59</v>
      </c>
      <c r="U923" s="62" t="s">
        <v>1543</v>
      </c>
      <c r="V923" s="62" t="s">
        <v>48</v>
      </c>
      <c r="W923" s="62" t="s">
        <v>3380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3378</v>
      </c>
      <c r="AF923" s="62" t="s">
        <v>67</v>
      </c>
      <c r="AG923" s="62" t="s">
        <v>48</v>
      </c>
      <c r="AH923" s="62" t="s">
        <v>3381</v>
      </c>
      <c r="AI923" s="62" t="s">
        <v>48</v>
      </c>
      <c r="AJ923" s="62" t="s">
        <v>48</v>
      </c>
      <c r="AK923" s="62" t="s">
        <v>48</v>
      </c>
      <c r="AL923" s="74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3382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3376</v>
      </c>
      <c r="L924" s="62" t="s">
        <v>3377</v>
      </c>
      <c r="M924" s="62" t="s">
        <v>54</v>
      </c>
      <c r="N924" s="62" t="s">
        <v>55</v>
      </c>
      <c r="O924" s="62" t="s">
        <v>2471</v>
      </c>
      <c r="P924" s="62" t="s">
        <v>3378</v>
      </c>
      <c r="Q924" s="62" t="s">
        <v>57</v>
      </c>
      <c r="R924" s="62" t="s">
        <v>48</v>
      </c>
      <c r="S924" s="62" t="s">
        <v>3383</v>
      </c>
      <c r="T924" s="62" t="s">
        <v>59</v>
      </c>
      <c r="U924" s="62" t="s">
        <v>1543</v>
      </c>
      <c r="V924" s="62" t="s">
        <v>48</v>
      </c>
      <c r="W924" s="62" t="s">
        <v>3380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3378</v>
      </c>
      <c r="AF924" s="62" t="s">
        <v>67</v>
      </c>
      <c r="AG924" s="62" t="s">
        <v>48</v>
      </c>
      <c r="AH924" s="62" t="s">
        <v>3381</v>
      </c>
      <c r="AI924" s="62" t="s">
        <v>48</v>
      </c>
      <c r="AJ924" s="62" t="s">
        <v>48</v>
      </c>
      <c r="AK924" s="62" t="s">
        <v>48</v>
      </c>
      <c r="AL924" s="74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3384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3385</v>
      </c>
      <c r="L925" s="62" t="s">
        <v>3386</v>
      </c>
      <c r="M925" s="62" t="s">
        <v>54</v>
      </c>
      <c r="N925" s="62" t="s">
        <v>55</v>
      </c>
      <c r="O925" s="62" t="s">
        <v>2471</v>
      </c>
      <c r="P925" s="62" t="s">
        <v>3387</v>
      </c>
      <c r="Q925" s="62" t="s">
        <v>57</v>
      </c>
      <c r="R925" s="62" t="s">
        <v>48</v>
      </c>
      <c r="S925" s="62" t="s">
        <v>3388</v>
      </c>
      <c r="T925" s="62" t="s">
        <v>59</v>
      </c>
      <c r="U925" s="62" t="s">
        <v>481</v>
      </c>
      <c r="V925" s="62" t="s">
        <v>48</v>
      </c>
      <c r="W925" s="62" t="s">
        <v>3389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3390</v>
      </c>
      <c r="AF925" s="62" t="s">
        <v>67</v>
      </c>
      <c r="AG925" s="62" t="s">
        <v>48</v>
      </c>
      <c r="AH925" s="62" t="s">
        <v>3391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3392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3385</v>
      </c>
      <c r="L926" s="62" t="s">
        <v>3386</v>
      </c>
      <c r="M926" s="62" t="s">
        <v>54</v>
      </c>
      <c r="N926" s="62" t="s">
        <v>55</v>
      </c>
      <c r="O926" s="62" t="s">
        <v>2471</v>
      </c>
      <c r="P926" s="62" t="s">
        <v>3387</v>
      </c>
      <c r="Q926" s="62" t="s">
        <v>57</v>
      </c>
      <c r="R926" s="62" t="s">
        <v>48</v>
      </c>
      <c r="S926" s="62" t="s">
        <v>3393</v>
      </c>
      <c r="T926" s="62" t="s">
        <v>59</v>
      </c>
      <c r="U926" s="62" t="s">
        <v>481</v>
      </c>
      <c r="V926" s="62" t="s">
        <v>48</v>
      </c>
      <c r="W926" s="62" t="s">
        <v>3389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3390</v>
      </c>
      <c r="AF926" s="62" t="s">
        <v>67</v>
      </c>
      <c r="AG926" s="62" t="s">
        <v>48</v>
      </c>
      <c r="AH926" s="62" t="s">
        <v>3391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3330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3331</v>
      </c>
      <c r="L927" s="64" t="s">
        <v>3394</v>
      </c>
      <c r="M927" s="64" t="s">
        <v>54</v>
      </c>
      <c r="N927" s="64" t="s">
        <v>179</v>
      </c>
      <c r="O927" s="64" t="s">
        <v>180</v>
      </c>
      <c r="P927" s="64" t="s">
        <v>3333</v>
      </c>
      <c r="Q927" s="64" t="s">
        <v>83</v>
      </c>
      <c r="R927" s="64" t="s">
        <v>48</v>
      </c>
      <c r="S927" s="64" t="s">
        <v>3334</v>
      </c>
      <c r="T927" s="64" t="s">
        <v>85</v>
      </c>
      <c r="U927" s="64" t="s">
        <v>86</v>
      </c>
      <c r="V927" s="64" t="s">
        <v>48</v>
      </c>
      <c r="W927" s="64" t="s">
        <v>3335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3336</v>
      </c>
      <c r="AF927" s="64" t="s">
        <v>67</v>
      </c>
      <c r="AG927" s="64" t="s">
        <v>48</v>
      </c>
      <c r="AH927" s="64" t="s">
        <v>3337</v>
      </c>
      <c r="AI927" s="64" t="s">
        <v>48</v>
      </c>
      <c r="AJ927" s="64" t="s">
        <v>48</v>
      </c>
      <c r="AK927" s="64" t="s">
        <v>48</v>
      </c>
      <c r="AL927" s="74" t="s">
        <v>69</v>
      </c>
      <c r="AM927" s="74" t="s">
        <v>48</v>
      </c>
      <c r="AN927" s="74"/>
      <c r="AO927" s="74" t="s">
        <v>48</v>
      </c>
      <c r="AP927" s="74" t="s">
        <v>3416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3279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3350</v>
      </c>
      <c r="L928" s="64" t="s">
        <v>3395</v>
      </c>
      <c r="M928" s="64" t="s">
        <v>54</v>
      </c>
      <c r="N928" s="64" t="s">
        <v>607</v>
      </c>
      <c r="O928" s="64" t="s">
        <v>2194</v>
      </c>
      <c r="P928" s="64" t="s">
        <v>3282</v>
      </c>
      <c r="Q928" s="64" t="s">
        <v>57</v>
      </c>
      <c r="R928" s="64" t="s">
        <v>48</v>
      </c>
      <c r="S928" s="64" t="s">
        <v>3352</v>
      </c>
      <c r="T928" s="64" t="s">
        <v>59</v>
      </c>
      <c r="U928" s="64" t="s">
        <v>332</v>
      </c>
      <c r="V928" s="64" t="s">
        <v>48</v>
      </c>
      <c r="W928" s="64" t="s">
        <v>3284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3285</v>
      </c>
      <c r="AF928" s="64" t="s">
        <v>67</v>
      </c>
      <c r="AG928" s="64" t="s">
        <v>48</v>
      </c>
      <c r="AH928" s="64" t="s">
        <v>3353</v>
      </c>
      <c r="AI928" s="64" t="s">
        <v>48</v>
      </c>
      <c r="AJ928" s="64" t="s">
        <v>48</v>
      </c>
      <c r="AK928" s="64" t="s">
        <v>48</v>
      </c>
      <c r="AL928" s="74" t="s">
        <v>69</v>
      </c>
      <c r="AM928" s="74" t="s">
        <v>48</v>
      </c>
      <c r="AN928" s="74"/>
      <c r="AO928" s="74" t="s">
        <v>48</v>
      </c>
      <c r="AP928" s="74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3134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3135</v>
      </c>
      <c r="L929" s="64" t="s">
        <v>3396</v>
      </c>
      <c r="M929" s="64" t="s">
        <v>54</v>
      </c>
      <c r="N929" s="64" t="s">
        <v>350</v>
      </c>
      <c r="O929" s="64" t="s">
        <v>971</v>
      </c>
      <c r="P929" s="64" t="s">
        <v>3137</v>
      </c>
      <c r="Q929" s="64" t="s">
        <v>57</v>
      </c>
      <c r="R929" s="64" t="s">
        <v>48</v>
      </c>
      <c r="S929" s="64" t="s">
        <v>3138</v>
      </c>
      <c r="T929" s="64" t="s">
        <v>59</v>
      </c>
      <c r="U929" s="64" t="s">
        <v>195</v>
      </c>
      <c r="V929" s="64" t="s">
        <v>48</v>
      </c>
      <c r="W929" s="64" t="s">
        <v>3139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3137</v>
      </c>
      <c r="AF929" s="64" t="s">
        <v>67</v>
      </c>
      <c r="AG929" s="64" t="s">
        <v>48</v>
      </c>
      <c r="AH929" s="64" t="s">
        <v>3140</v>
      </c>
      <c r="AI929" s="64" t="s">
        <v>48</v>
      </c>
      <c r="AJ929" s="64" t="s">
        <v>48</v>
      </c>
      <c r="AK929" s="64" t="s">
        <v>48</v>
      </c>
      <c r="AL929" s="63" t="s">
        <v>3361</v>
      </c>
      <c r="AM929" s="63"/>
      <c r="AN929" s="63"/>
      <c r="AO929" s="63"/>
      <c r="AP929" s="63" t="s">
        <v>3362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3141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3142</v>
      </c>
      <c r="L930" s="64" t="s">
        <v>3397</v>
      </c>
      <c r="M930" s="64" t="s">
        <v>54</v>
      </c>
      <c r="N930" s="64" t="s">
        <v>350</v>
      </c>
      <c r="O930" s="64" t="s">
        <v>971</v>
      </c>
      <c r="P930" s="64" t="s">
        <v>3144</v>
      </c>
      <c r="Q930" s="64" t="s">
        <v>83</v>
      </c>
      <c r="R930" s="64" t="s">
        <v>48</v>
      </c>
      <c r="S930" s="64" t="s">
        <v>3145</v>
      </c>
      <c r="T930" s="64" t="s">
        <v>85</v>
      </c>
      <c r="U930" s="64" t="s">
        <v>354</v>
      </c>
      <c r="V930" s="64" t="s">
        <v>48</v>
      </c>
      <c r="W930" s="64" t="s">
        <v>3146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3137</v>
      </c>
      <c r="AF930" s="64" t="s">
        <v>67</v>
      </c>
      <c r="AG930" s="64" t="s">
        <v>48</v>
      </c>
      <c r="AH930" s="64" t="s">
        <v>3147</v>
      </c>
      <c r="AI930" s="64" t="s">
        <v>48</v>
      </c>
      <c r="AJ930" s="64" t="s">
        <v>48</v>
      </c>
      <c r="AK930" s="64" t="s">
        <v>48</v>
      </c>
      <c r="AL930" s="63" t="s">
        <v>3361</v>
      </c>
      <c r="AM930" s="63"/>
      <c r="AN930" s="63"/>
      <c r="AO930" s="63"/>
      <c r="AP930" s="63" t="s">
        <v>3362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3148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3149</v>
      </c>
      <c r="L931" s="64" t="s">
        <v>3398</v>
      </c>
      <c r="M931" s="64" t="s">
        <v>54</v>
      </c>
      <c r="N931" s="64" t="s">
        <v>350</v>
      </c>
      <c r="O931" s="64" t="s">
        <v>971</v>
      </c>
      <c r="P931" s="64" t="s">
        <v>3151</v>
      </c>
      <c r="Q931" s="64" t="s">
        <v>83</v>
      </c>
      <c r="R931" s="64" t="s">
        <v>48</v>
      </c>
      <c r="S931" s="64" t="s">
        <v>3152</v>
      </c>
      <c r="T931" s="64" t="s">
        <v>85</v>
      </c>
      <c r="U931" s="64" t="s">
        <v>354</v>
      </c>
      <c r="V931" s="64" t="s">
        <v>48</v>
      </c>
      <c r="W931" s="64" t="s">
        <v>3146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3137</v>
      </c>
      <c r="AF931" s="64" t="s">
        <v>67</v>
      </c>
      <c r="AG931" s="64" t="s">
        <v>48</v>
      </c>
      <c r="AH931" s="64" t="s">
        <v>3153</v>
      </c>
      <c r="AI931" s="64" t="s">
        <v>48</v>
      </c>
      <c r="AJ931" s="64" t="s">
        <v>48</v>
      </c>
      <c r="AK931" s="64" t="s">
        <v>48</v>
      </c>
      <c r="AL931" s="63" t="s">
        <v>3361</v>
      </c>
      <c r="AM931" s="63"/>
      <c r="AN931" s="63"/>
      <c r="AO931" s="63"/>
      <c r="AP931" s="63" t="s">
        <v>3362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3104</v>
      </c>
      <c r="L932" s="64" t="s">
        <v>3399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3106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3107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3108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3109</v>
      </c>
      <c r="L933" s="64" t="s">
        <v>3400</v>
      </c>
      <c r="M933" s="64" t="s">
        <v>54</v>
      </c>
      <c r="N933" s="64" t="s">
        <v>350</v>
      </c>
      <c r="O933" s="64" t="s">
        <v>1065</v>
      </c>
      <c r="P933" s="64" t="s">
        <v>3111</v>
      </c>
      <c r="Q933" s="64" t="s">
        <v>83</v>
      </c>
      <c r="R933" s="64" t="s">
        <v>48</v>
      </c>
      <c r="S933" s="64" t="s">
        <v>3112</v>
      </c>
      <c r="T933" s="64" t="s">
        <v>85</v>
      </c>
      <c r="U933" s="64" t="s">
        <v>206</v>
      </c>
      <c r="V933" s="64" t="s">
        <v>48</v>
      </c>
      <c r="W933" s="64" t="s">
        <v>3113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3114</v>
      </c>
      <c r="AF933" s="64" t="s">
        <v>67</v>
      </c>
      <c r="AG933" s="64" t="s">
        <v>48</v>
      </c>
      <c r="AH933" s="64" t="s">
        <v>3115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101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3401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05"/>
      <c r="AR934" s="106"/>
      <c r="AS934" s="106"/>
      <c r="AT934" s="105"/>
    </row>
    <row r="935" spans="1:46" ht="16.3" thickBot="1" x14ac:dyDescent="0.35">
      <c r="A935" s="78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3402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7"/>
      <c r="AR935" s="108"/>
      <c r="AS935" s="108"/>
      <c r="AT935" s="107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3417</v>
      </c>
      <c r="L936" s="42" t="s">
        <v>3418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3419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3420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3421</v>
      </c>
      <c r="L937" s="62" t="s">
        <v>3422</v>
      </c>
      <c r="M937" s="62" t="s">
        <v>54</v>
      </c>
      <c r="N937" s="62" t="s">
        <v>286</v>
      </c>
      <c r="O937" s="62" t="s">
        <v>3423</v>
      </c>
      <c r="P937" s="62" t="s">
        <v>3424</v>
      </c>
      <c r="Q937" s="62" t="s">
        <v>57</v>
      </c>
      <c r="R937" s="62" t="s">
        <v>48</v>
      </c>
      <c r="S937" s="62" t="s">
        <v>3425</v>
      </c>
      <c r="T937" s="62" t="s">
        <v>59</v>
      </c>
      <c r="U937" s="62" t="s">
        <v>49</v>
      </c>
      <c r="V937" s="62" t="s">
        <v>48</v>
      </c>
      <c r="W937" s="62" t="s">
        <v>3426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3427</v>
      </c>
      <c r="AF937" s="62" t="s">
        <v>67</v>
      </c>
      <c r="AG937" s="62" t="s">
        <v>48</v>
      </c>
      <c r="AH937" s="62" t="s">
        <v>3428</v>
      </c>
      <c r="AI937" s="62" t="s">
        <v>48</v>
      </c>
      <c r="AJ937" s="62" t="s">
        <v>48</v>
      </c>
      <c r="AK937" s="62" t="s">
        <v>48</v>
      </c>
      <c r="AL937" s="74" t="s">
        <v>69</v>
      </c>
      <c r="AM937" s="74" t="s">
        <v>48</v>
      </c>
      <c r="AN937" s="74"/>
      <c r="AO937" s="74" t="s">
        <v>48</v>
      </c>
      <c r="AP937" s="74" t="s">
        <v>3442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3429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3421</v>
      </c>
      <c r="L938" s="62" t="s">
        <v>3422</v>
      </c>
      <c r="M938" s="62" t="s">
        <v>54</v>
      </c>
      <c r="N938" s="62" t="s">
        <v>286</v>
      </c>
      <c r="O938" s="62" t="s">
        <v>3423</v>
      </c>
      <c r="P938" s="62" t="s">
        <v>3424</v>
      </c>
      <c r="Q938" s="62" t="s">
        <v>57</v>
      </c>
      <c r="R938" s="62" t="s">
        <v>48</v>
      </c>
      <c r="S938" s="62" t="s">
        <v>3430</v>
      </c>
      <c r="T938" s="62" t="s">
        <v>59</v>
      </c>
      <c r="U938" s="62" t="s">
        <v>49</v>
      </c>
      <c r="V938" s="62" t="s">
        <v>48</v>
      </c>
      <c r="W938" s="62" t="s">
        <v>3426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3427</v>
      </c>
      <c r="AF938" s="62" t="s">
        <v>67</v>
      </c>
      <c r="AG938" s="62" t="s">
        <v>48</v>
      </c>
      <c r="AH938" s="62" t="s">
        <v>3428</v>
      </c>
      <c r="AI938" s="62" t="s">
        <v>48</v>
      </c>
      <c r="AJ938" s="62" t="s">
        <v>48</v>
      </c>
      <c r="AK938" s="62" t="s">
        <v>48</v>
      </c>
      <c r="AL938" s="74" t="s">
        <v>69</v>
      </c>
      <c r="AM938" s="74" t="s">
        <v>48</v>
      </c>
      <c r="AN938" s="74"/>
      <c r="AO938" s="74" t="s">
        <v>48</v>
      </c>
      <c r="AP938" s="74" t="s">
        <v>3442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3384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3385</v>
      </c>
      <c r="L939" s="64" t="s">
        <v>3431</v>
      </c>
      <c r="M939" s="64" t="s">
        <v>54</v>
      </c>
      <c r="N939" s="64" t="s">
        <v>55</v>
      </c>
      <c r="O939" s="64" t="s">
        <v>2471</v>
      </c>
      <c r="P939" s="64" t="s">
        <v>3387</v>
      </c>
      <c r="Q939" s="64" t="s">
        <v>57</v>
      </c>
      <c r="R939" s="64" t="s">
        <v>48</v>
      </c>
      <c r="S939" s="64" t="s">
        <v>3388</v>
      </c>
      <c r="T939" s="64" t="s">
        <v>59</v>
      </c>
      <c r="U939" s="64" t="s">
        <v>481</v>
      </c>
      <c r="V939" s="64" t="s">
        <v>48</v>
      </c>
      <c r="W939" s="64" t="s">
        <v>3389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3390</v>
      </c>
      <c r="AF939" s="64" t="s">
        <v>67</v>
      </c>
      <c r="AG939" s="64" t="s">
        <v>48</v>
      </c>
      <c r="AH939" s="64" t="s">
        <v>3391</v>
      </c>
      <c r="AI939" s="64" t="s">
        <v>48</v>
      </c>
      <c r="AJ939" s="64" t="s">
        <v>48</v>
      </c>
      <c r="AK939" s="64" t="s">
        <v>48</v>
      </c>
      <c r="AL939" s="74" t="s">
        <v>69</v>
      </c>
      <c r="AM939" s="74" t="s">
        <v>48</v>
      </c>
      <c r="AN939" s="74"/>
      <c r="AO939" s="74" t="s">
        <v>48</v>
      </c>
      <c r="AP939" s="74" t="s">
        <v>3441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3392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3385</v>
      </c>
      <c r="L940" s="64" t="s">
        <v>3431</v>
      </c>
      <c r="M940" s="64" t="s">
        <v>54</v>
      </c>
      <c r="N940" s="64" t="s">
        <v>55</v>
      </c>
      <c r="O940" s="64" t="s">
        <v>2471</v>
      </c>
      <c r="P940" s="64" t="s">
        <v>3387</v>
      </c>
      <c r="Q940" s="64" t="s">
        <v>57</v>
      </c>
      <c r="R940" s="64" t="s">
        <v>48</v>
      </c>
      <c r="S940" s="64" t="s">
        <v>3393</v>
      </c>
      <c r="T940" s="64" t="s">
        <v>59</v>
      </c>
      <c r="U940" s="64" t="s">
        <v>481</v>
      </c>
      <c r="V940" s="64" t="s">
        <v>48</v>
      </c>
      <c r="W940" s="64" t="s">
        <v>3389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3390</v>
      </c>
      <c r="AF940" s="64" t="s">
        <v>67</v>
      </c>
      <c r="AG940" s="64" t="s">
        <v>48</v>
      </c>
      <c r="AH940" s="64" t="s">
        <v>3391</v>
      </c>
      <c r="AI940" s="64" t="s">
        <v>48</v>
      </c>
      <c r="AJ940" s="64" t="s">
        <v>48</v>
      </c>
      <c r="AK940" s="64" t="s">
        <v>48</v>
      </c>
      <c r="AL940" s="74" t="s">
        <v>69</v>
      </c>
      <c r="AM940" s="74" t="s">
        <v>48</v>
      </c>
      <c r="AN940" s="74"/>
      <c r="AO940" s="74" t="s">
        <v>48</v>
      </c>
      <c r="AP940" s="74" t="s">
        <v>3441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3134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3135</v>
      </c>
      <c r="L941" s="64" t="s">
        <v>3432</v>
      </c>
      <c r="M941" s="64" t="s">
        <v>54</v>
      </c>
      <c r="N941" s="64" t="s">
        <v>350</v>
      </c>
      <c r="O941" s="64" t="s">
        <v>971</v>
      </c>
      <c r="P941" s="64" t="s">
        <v>3137</v>
      </c>
      <c r="Q941" s="64" t="s">
        <v>57</v>
      </c>
      <c r="R941" s="64" t="s">
        <v>48</v>
      </c>
      <c r="S941" s="64" t="s">
        <v>3138</v>
      </c>
      <c r="T941" s="64" t="s">
        <v>59</v>
      </c>
      <c r="U941" s="64" t="s">
        <v>195</v>
      </c>
      <c r="V941" s="64" t="s">
        <v>48</v>
      </c>
      <c r="W941" s="64" t="s">
        <v>3139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3137</v>
      </c>
      <c r="AF941" s="64" t="s">
        <v>67</v>
      </c>
      <c r="AG941" s="64" t="s">
        <v>48</v>
      </c>
      <c r="AH941" s="64" t="s">
        <v>3140</v>
      </c>
      <c r="AI941" s="64" t="s">
        <v>48</v>
      </c>
      <c r="AJ941" s="64" t="s">
        <v>48</v>
      </c>
      <c r="AK941" s="64" t="s">
        <v>48</v>
      </c>
      <c r="AL941" s="74" t="s">
        <v>69</v>
      </c>
      <c r="AM941" s="74" t="s">
        <v>3259</v>
      </c>
      <c r="AN941" s="74"/>
      <c r="AO941" s="74"/>
      <c r="AP941" s="74" t="s">
        <v>3443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3141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3142</v>
      </c>
      <c r="L942" s="64" t="s">
        <v>3433</v>
      </c>
      <c r="M942" s="64" t="s">
        <v>54</v>
      </c>
      <c r="N942" s="64" t="s">
        <v>350</v>
      </c>
      <c r="O942" s="64" t="s">
        <v>971</v>
      </c>
      <c r="P942" s="64" t="s">
        <v>3144</v>
      </c>
      <c r="Q942" s="64" t="s">
        <v>83</v>
      </c>
      <c r="R942" s="64" t="s">
        <v>48</v>
      </c>
      <c r="S942" s="64" t="s">
        <v>3145</v>
      </c>
      <c r="T942" s="64" t="s">
        <v>85</v>
      </c>
      <c r="U942" s="64" t="s">
        <v>354</v>
      </c>
      <c r="V942" s="64" t="s">
        <v>48</v>
      </c>
      <c r="W942" s="64" t="s">
        <v>3146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3137</v>
      </c>
      <c r="AF942" s="64" t="s">
        <v>67</v>
      </c>
      <c r="AG942" s="64" t="s">
        <v>48</v>
      </c>
      <c r="AH942" s="64" t="s">
        <v>3147</v>
      </c>
      <c r="AI942" s="64" t="s">
        <v>48</v>
      </c>
      <c r="AJ942" s="64" t="s">
        <v>48</v>
      </c>
      <c r="AK942" s="64" t="s">
        <v>48</v>
      </c>
      <c r="AL942" s="74" t="s">
        <v>69</v>
      </c>
      <c r="AM942" s="74" t="s">
        <v>3259</v>
      </c>
      <c r="AN942" s="74"/>
      <c r="AO942" s="74"/>
      <c r="AP942" s="74" t="s">
        <v>3443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3148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3149</v>
      </c>
      <c r="L943" s="64" t="s">
        <v>3434</v>
      </c>
      <c r="M943" s="64" t="s">
        <v>54</v>
      </c>
      <c r="N943" s="64" t="s">
        <v>350</v>
      </c>
      <c r="O943" s="64" t="s">
        <v>971</v>
      </c>
      <c r="P943" s="64" t="s">
        <v>3151</v>
      </c>
      <c r="Q943" s="64" t="s">
        <v>83</v>
      </c>
      <c r="R943" s="64" t="s">
        <v>48</v>
      </c>
      <c r="S943" s="64" t="s">
        <v>3152</v>
      </c>
      <c r="T943" s="64" t="s">
        <v>85</v>
      </c>
      <c r="U943" s="64" t="s">
        <v>354</v>
      </c>
      <c r="V943" s="64" t="s">
        <v>48</v>
      </c>
      <c r="W943" s="64" t="s">
        <v>3146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3137</v>
      </c>
      <c r="AF943" s="64" t="s">
        <v>67</v>
      </c>
      <c r="AG943" s="64" t="s">
        <v>48</v>
      </c>
      <c r="AH943" s="64" t="s">
        <v>3153</v>
      </c>
      <c r="AI943" s="64" t="s">
        <v>48</v>
      </c>
      <c r="AJ943" s="64" t="s">
        <v>48</v>
      </c>
      <c r="AK943" s="64" t="s">
        <v>48</v>
      </c>
      <c r="AL943" s="74" t="s">
        <v>69</v>
      </c>
      <c r="AM943" s="74" t="s">
        <v>3259</v>
      </c>
      <c r="AN943" s="74"/>
      <c r="AO943" s="74"/>
      <c r="AP943" s="74" t="s">
        <v>3443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3104</v>
      </c>
      <c r="L944" s="64" t="s">
        <v>3435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3106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3107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4" t="s">
        <v>3444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3108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3109</v>
      </c>
      <c r="L945" s="64" t="s">
        <v>3436</v>
      </c>
      <c r="M945" s="64" t="s">
        <v>54</v>
      </c>
      <c r="N945" s="64" t="s">
        <v>350</v>
      </c>
      <c r="O945" s="64" t="s">
        <v>1065</v>
      </c>
      <c r="P945" s="64" t="s">
        <v>3111</v>
      </c>
      <c r="Q945" s="64" t="s">
        <v>83</v>
      </c>
      <c r="R945" s="64" t="s">
        <v>48</v>
      </c>
      <c r="S945" s="64" t="s">
        <v>3112</v>
      </c>
      <c r="T945" s="64" t="s">
        <v>85</v>
      </c>
      <c r="U945" s="64" t="s">
        <v>206</v>
      </c>
      <c r="V945" s="64" t="s">
        <v>48</v>
      </c>
      <c r="W945" s="64" t="s">
        <v>3113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3114</v>
      </c>
      <c r="AF945" s="64" t="s">
        <v>67</v>
      </c>
      <c r="AG945" s="64" t="s">
        <v>48</v>
      </c>
      <c r="AH945" s="64" t="s">
        <v>3115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4" t="s">
        <v>3445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3437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4" t="s">
        <v>3446</v>
      </c>
    </row>
    <row r="947" spans="1:43" ht="16.3" thickBot="1" x14ac:dyDescent="0.35">
      <c r="A947" s="78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3438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3447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3449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3450</v>
      </c>
      <c r="L948" s="42" t="s">
        <v>3451</v>
      </c>
      <c r="M948" s="42" t="s">
        <v>54</v>
      </c>
      <c r="N948" s="42" t="s">
        <v>80</v>
      </c>
      <c r="O948" s="42" t="s">
        <v>3452</v>
      </c>
      <c r="P948" s="42" t="s">
        <v>3453</v>
      </c>
      <c r="Q948" s="42" t="s">
        <v>83</v>
      </c>
      <c r="R948" s="42" t="s">
        <v>48</v>
      </c>
      <c r="S948" s="42" t="s">
        <v>3454</v>
      </c>
      <c r="T948" s="42" t="s">
        <v>85</v>
      </c>
      <c r="U948" s="42" t="s">
        <v>335</v>
      </c>
      <c r="V948" s="42" t="s">
        <v>48</v>
      </c>
      <c r="W948" s="42" t="s">
        <v>3455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3456</v>
      </c>
      <c r="AF948" s="42" t="s">
        <v>67</v>
      </c>
      <c r="AG948" s="42" t="s">
        <v>48</v>
      </c>
      <c r="AH948" s="42" t="s">
        <v>3457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3445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3458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3450</v>
      </c>
      <c r="L949" s="62" t="s">
        <v>3451</v>
      </c>
      <c r="M949" s="62" t="s">
        <v>54</v>
      </c>
      <c r="N949" s="62" t="s">
        <v>80</v>
      </c>
      <c r="O949" s="62" t="s">
        <v>3452</v>
      </c>
      <c r="P949" s="62" t="s">
        <v>3459</v>
      </c>
      <c r="Q949" s="62" t="s">
        <v>83</v>
      </c>
      <c r="R949" s="62" t="s">
        <v>48</v>
      </c>
      <c r="S949" s="62" t="s">
        <v>3460</v>
      </c>
      <c r="T949" s="62" t="s">
        <v>85</v>
      </c>
      <c r="U949" s="62" t="s">
        <v>335</v>
      </c>
      <c r="V949" s="62" t="s">
        <v>48</v>
      </c>
      <c r="W949" s="62" t="s">
        <v>3455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3456</v>
      </c>
      <c r="AF949" s="62" t="s">
        <v>67</v>
      </c>
      <c r="AG949" s="62" t="s">
        <v>48</v>
      </c>
      <c r="AH949" s="62" t="s">
        <v>3457</v>
      </c>
      <c r="AI949" s="62" t="s">
        <v>48</v>
      </c>
      <c r="AJ949" s="62" t="s">
        <v>48</v>
      </c>
      <c r="AK949" s="62" t="s">
        <v>48</v>
      </c>
      <c r="AL949" s="74" t="s">
        <v>3515</v>
      </c>
      <c r="AM949" s="74" t="s">
        <v>48</v>
      </c>
      <c r="AN949" s="74"/>
      <c r="AO949" s="74" t="s">
        <v>48</v>
      </c>
      <c r="AP949" s="74" t="s">
        <v>300</v>
      </c>
      <c r="AQ949" s="14" t="s">
        <v>3445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3461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3462</v>
      </c>
      <c r="L950" s="62" t="s">
        <v>3463</v>
      </c>
      <c r="M950" s="62" t="s">
        <v>54</v>
      </c>
      <c r="N950" s="62" t="s">
        <v>202</v>
      </c>
      <c r="O950" s="62" t="s">
        <v>1412</v>
      </c>
      <c r="P950" s="62" t="s">
        <v>3464</v>
      </c>
      <c r="Q950" s="62" t="s">
        <v>57</v>
      </c>
      <c r="R950" s="62" t="s">
        <v>48</v>
      </c>
      <c r="S950" s="62" t="s">
        <v>3465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3466</v>
      </c>
      <c r="AF950" s="62" t="s">
        <v>67</v>
      </c>
      <c r="AG950" s="62" t="s">
        <v>48</v>
      </c>
      <c r="AH950" s="62" t="s">
        <v>3467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4" t="s">
        <v>3445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3514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3468</v>
      </c>
      <c r="L951" s="64" t="s">
        <v>3469</v>
      </c>
      <c r="M951" s="64" t="s">
        <v>54</v>
      </c>
      <c r="N951" s="64" t="s">
        <v>55</v>
      </c>
      <c r="O951" s="64" t="s">
        <v>3470</v>
      </c>
      <c r="P951" s="64" t="s">
        <v>3471</v>
      </c>
      <c r="Q951" s="64" t="s">
        <v>57</v>
      </c>
      <c r="R951" s="64" t="s">
        <v>48</v>
      </c>
      <c r="S951" s="64" t="s">
        <v>3472</v>
      </c>
      <c r="T951" s="64" t="s">
        <v>59</v>
      </c>
      <c r="U951" s="64" t="s">
        <v>338</v>
      </c>
      <c r="V951" s="64" t="s">
        <v>48</v>
      </c>
      <c r="W951" s="64" t="s">
        <v>3473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3474</v>
      </c>
      <c r="AF951" s="64" t="s">
        <v>67</v>
      </c>
      <c r="AG951" s="64" t="s">
        <v>48</v>
      </c>
      <c r="AH951" s="64" t="s">
        <v>3475</v>
      </c>
      <c r="AI951" s="64" t="s">
        <v>48</v>
      </c>
      <c r="AJ951" s="64" t="s">
        <v>48</v>
      </c>
      <c r="AK951" s="64" t="s">
        <v>48</v>
      </c>
      <c r="AL951" s="74" t="s">
        <v>69</v>
      </c>
      <c r="AM951" s="74" t="s">
        <v>48</v>
      </c>
      <c r="AN951" s="74"/>
      <c r="AO951" s="74" t="s">
        <v>48</v>
      </c>
      <c r="AP951" s="74" t="s">
        <v>3313</v>
      </c>
      <c r="AQ951" s="14" t="s">
        <v>3446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3476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3468</v>
      </c>
      <c r="L952" s="64" t="s">
        <v>3469</v>
      </c>
      <c r="M952" s="64" t="s">
        <v>54</v>
      </c>
      <c r="N952" s="64" t="s">
        <v>55</v>
      </c>
      <c r="O952" s="64" t="s">
        <v>3470</v>
      </c>
      <c r="P952" s="64" t="s">
        <v>3477</v>
      </c>
      <c r="Q952" s="64" t="s">
        <v>83</v>
      </c>
      <c r="R952" s="64" t="s">
        <v>48</v>
      </c>
      <c r="S952" s="64" t="s">
        <v>3478</v>
      </c>
      <c r="T952" s="64" t="s">
        <v>85</v>
      </c>
      <c r="U952" s="64" t="s">
        <v>49</v>
      </c>
      <c r="V952" s="64" t="s">
        <v>48</v>
      </c>
      <c r="W952" s="64" t="s">
        <v>3479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3474</v>
      </c>
      <c r="AF952" s="64" t="s">
        <v>67</v>
      </c>
      <c r="AG952" s="64" t="s">
        <v>48</v>
      </c>
      <c r="AH952" s="64" t="s">
        <v>3475</v>
      </c>
      <c r="AI952" s="64" t="s">
        <v>48</v>
      </c>
      <c r="AJ952" s="64" t="s">
        <v>48</v>
      </c>
      <c r="AK952" s="64" t="s">
        <v>48</v>
      </c>
      <c r="AL952" s="74" t="s">
        <v>69</v>
      </c>
      <c r="AM952" s="74" t="s">
        <v>48</v>
      </c>
      <c r="AN952" s="74"/>
      <c r="AO952" s="74" t="s">
        <v>48</v>
      </c>
      <c r="AP952" s="74" t="s">
        <v>3313</v>
      </c>
      <c r="AQ952" s="14" t="s">
        <v>3446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3480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3468</v>
      </c>
      <c r="L953" s="64" t="s">
        <v>3469</v>
      </c>
      <c r="M953" s="64" t="s">
        <v>54</v>
      </c>
      <c r="N953" s="64" t="s">
        <v>55</v>
      </c>
      <c r="O953" s="64" t="s">
        <v>3470</v>
      </c>
      <c r="P953" s="64" t="s">
        <v>3481</v>
      </c>
      <c r="Q953" s="64" t="s">
        <v>83</v>
      </c>
      <c r="R953" s="64" t="s">
        <v>48</v>
      </c>
      <c r="S953" s="64" t="s">
        <v>3482</v>
      </c>
      <c r="T953" s="64" t="s">
        <v>85</v>
      </c>
      <c r="U953" s="64" t="s">
        <v>49</v>
      </c>
      <c r="V953" s="64" t="s">
        <v>48</v>
      </c>
      <c r="W953" s="64" t="s">
        <v>3479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3474</v>
      </c>
      <c r="AF953" s="64" t="s">
        <v>67</v>
      </c>
      <c r="AG953" s="64" t="s">
        <v>48</v>
      </c>
      <c r="AH953" s="64" t="s">
        <v>3475</v>
      </c>
      <c r="AI953" s="64" t="s">
        <v>48</v>
      </c>
      <c r="AJ953" s="64" t="s">
        <v>48</v>
      </c>
      <c r="AK953" s="64" t="s">
        <v>48</v>
      </c>
      <c r="AL953" s="74" t="s">
        <v>69</v>
      </c>
      <c r="AM953" s="74" t="s">
        <v>48</v>
      </c>
      <c r="AN953" s="74"/>
      <c r="AO953" s="74" t="s">
        <v>48</v>
      </c>
      <c r="AP953" s="74" t="s">
        <v>3313</v>
      </c>
      <c r="AQ953" s="14" t="s">
        <v>3446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3513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3483</v>
      </c>
      <c r="L954" s="64" t="s">
        <v>3484</v>
      </c>
      <c r="M954" s="64" t="s">
        <v>54</v>
      </c>
      <c r="N954" s="64" t="s">
        <v>55</v>
      </c>
      <c r="O954" s="64" t="s">
        <v>1007</v>
      </c>
      <c r="P954" s="64" t="s">
        <v>3485</v>
      </c>
      <c r="Q954" s="64" t="s">
        <v>57</v>
      </c>
      <c r="R954" s="64" t="s">
        <v>48</v>
      </c>
      <c r="S954" s="64" t="s">
        <v>3486</v>
      </c>
      <c r="T954" s="64" t="s">
        <v>59</v>
      </c>
      <c r="U954" s="64" t="s">
        <v>669</v>
      </c>
      <c r="V954" s="64" t="s">
        <v>48</v>
      </c>
      <c r="W954" s="64" t="s">
        <v>3487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3488</v>
      </c>
      <c r="AF954" s="64" t="s">
        <v>67</v>
      </c>
      <c r="AG954" s="64" t="s">
        <v>48</v>
      </c>
      <c r="AH954" s="64" t="s">
        <v>3489</v>
      </c>
      <c r="AI954" s="64" t="s">
        <v>48</v>
      </c>
      <c r="AJ954" s="64" t="s">
        <v>48</v>
      </c>
      <c r="AK954" s="64" t="s">
        <v>48</v>
      </c>
      <c r="AL954" s="74" t="s">
        <v>69</v>
      </c>
      <c r="AM954" s="74" t="s">
        <v>48</v>
      </c>
      <c r="AN954" s="74"/>
      <c r="AO954" s="74" t="s">
        <v>48</v>
      </c>
      <c r="AP954" s="74" t="s">
        <v>3314</v>
      </c>
      <c r="AQ954" s="14" t="s">
        <v>3446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3490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3491</v>
      </c>
      <c r="L955" s="64" t="s">
        <v>3492</v>
      </c>
      <c r="M955" s="64" t="s">
        <v>54</v>
      </c>
      <c r="N955" s="64" t="s">
        <v>237</v>
      </c>
      <c r="O955" s="64" t="s">
        <v>2912</v>
      </c>
      <c r="P955" s="64" t="s">
        <v>3493</v>
      </c>
      <c r="Q955" s="64" t="s">
        <v>83</v>
      </c>
      <c r="R955" s="64" t="s">
        <v>48</v>
      </c>
      <c r="S955" s="64" t="s">
        <v>3494</v>
      </c>
      <c r="T955" s="64" t="s">
        <v>85</v>
      </c>
      <c r="U955" s="64" t="s">
        <v>88</v>
      </c>
      <c r="V955" s="64" t="s">
        <v>48</v>
      </c>
      <c r="W955" s="64" t="s">
        <v>3495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3493</v>
      </c>
      <c r="AF955" s="64" t="s">
        <v>67</v>
      </c>
      <c r="AG955" s="64" t="s">
        <v>48</v>
      </c>
      <c r="AH955" s="64" t="s">
        <v>3496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4" t="s">
        <v>3446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3104</v>
      </c>
      <c r="L956" s="64" t="s">
        <v>3497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3106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3107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4" t="s">
        <v>3444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3108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3109</v>
      </c>
      <c r="L957" s="64" t="s">
        <v>3498</v>
      </c>
      <c r="M957" s="64" t="s">
        <v>54</v>
      </c>
      <c r="N957" s="64" t="s">
        <v>350</v>
      </c>
      <c r="O957" s="64" t="s">
        <v>1065</v>
      </c>
      <c r="P957" s="64" t="s">
        <v>3111</v>
      </c>
      <c r="Q957" s="64" t="s">
        <v>83</v>
      </c>
      <c r="R957" s="64" t="s">
        <v>48</v>
      </c>
      <c r="S957" s="64" t="s">
        <v>3112</v>
      </c>
      <c r="T957" s="64" t="s">
        <v>85</v>
      </c>
      <c r="U957" s="64" t="s">
        <v>206</v>
      </c>
      <c r="V957" s="64" t="s">
        <v>48</v>
      </c>
      <c r="W957" s="64" t="s">
        <v>3113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3114</v>
      </c>
      <c r="AF957" s="64" t="s">
        <v>67</v>
      </c>
      <c r="AG957" s="64" t="s">
        <v>48</v>
      </c>
      <c r="AH957" s="64" t="s">
        <v>3115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4" t="s">
        <v>3445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3499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4" t="s">
        <v>3446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3500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3447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3516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3517</v>
      </c>
      <c r="L960" s="62" t="s">
        <v>3518</v>
      </c>
      <c r="M960" s="62" t="s">
        <v>54</v>
      </c>
      <c r="N960" s="62" t="s">
        <v>607</v>
      </c>
      <c r="O960" s="62" t="s">
        <v>814</v>
      </c>
      <c r="P960" s="62" t="s">
        <v>3519</v>
      </c>
      <c r="Q960" s="62" t="s">
        <v>83</v>
      </c>
      <c r="R960" s="62" t="s">
        <v>48</v>
      </c>
      <c r="S960" s="62" t="s">
        <v>3520</v>
      </c>
      <c r="T960" s="62" t="s">
        <v>85</v>
      </c>
      <c r="U960" s="62" t="s">
        <v>88</v>
      </c>
      <c r="V960" s="62" t="s">
        <v>48</v>
      </c>
      <c r="W960" s="62" t="s">
        <v>3521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3522</v>
      </c>
      <c r="AF960" s="62" t="s">
        <v>67</v>
      </c>
      <c r="AG960" s="62" t="s">
        <v>48</v>
      </c>
      <c r="AH960" s="62" t="s">
        <v>3523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3596</v>
      </c>
      <c r="AQ960" s="14" t="s">
        <v>3446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3524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3525</v>
      </c>
      <c r="L961" s="62" t="s">
        <v>3526</v>
      </c>
      <c r="M961" s="62" t="s">
        <v>54</v>
      </c>
      <c r="N961" s="62" t="s">
        <v>607</v>
      </c>
      <c r="O961" s="62" t="s">
        <v>814</v>
      </c>
      <c r="P961" s="62" t="s">
        <v>3527</v>
      </c>
      <c r="Q961" s="62" t="s">
        <v>57</v>
      </c>
      <c r="R961" s="62" t="s">
        <v>48</v>
      </c>
      <c r="S961" s="62" t="s">
        <v>3528</v>
      </c>
      <c r="T961" s="62" t="s">
        <v>59</v>
      </c>
      <c r="U961" s="62" t="s">
        <v>354</v>
      </c>
      <c r="V961" s="62" t="s">
        <v>48</v>
      </c>
      <c r="W961" s="62" t="s">
        <v>3529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3522</v>
      </c>
      <c r="AF961" s="62" t="s">
        <v>67</v>
      </c>
      <c r="AG961" s="62" t="s">
        <v>48</v>
      </c>
      <c r="AH961" s="62" t="s">
        <v>3530</v>
      </c>
      <c r="AI961" s="62" t="s">
        <v>48</v>
      </c>
      <c r="AJ961" s="62" t="s">
        <v>48</v>
      </c>
      <c r="AK961" s="62" t="s">
        <v>48</v>
      </c>
      <c r="AL961" s="63" t="s">
        <v>3515</v>
      </c>
      <c r="AM961" s="63" t="s">
        <v>48</v>
      </c>
      <c r="AN961" s="63"/>
      <c r="AO961" s="63" t="s">
        <v>48</v>
      </c>
      <c r="AP961" s="63" t="s">
        <v>3595</v>
      </c>
      <c r="AQ961" s="14" t="s">
        <v>3445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3461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3462</v>
      </c>
      <c r="L962" s="64" t="s">
        <v>3531</v>
      </c>
      <c r="M962" s="64" t="s">
        <v>54</v>
      </c>
      <c r="N962" s="64" t="s">
        <v>202</v>
      </c>
      <c r="O962" s="64" t="s">
        <v>1412</v>
      </c>
      <c r="P962" s="64" t="s">
        <v>3464</v>
      </c>
      <c r="Q962" s="64" t="s">
        <v>57</v>
      </c>
      <c r="R962" s="64" t="s">
        <v>48</v>
      </c>
      <c r="S962" s="64" t="s">
        <v>3465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3466</v>
      </c>
      <c r="AF962" s="64" t="s">
        <v>67</v>
      </c>
      <c r="AG962" s="64" t="s">
        <v>48</v>
      </c>
      <c r="AH962" s="64" t="s">
        <v>3467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4" t="s">
        <v>3445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3490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3491</v>
      </c>
      <c r="L963" s="64" t="s">
        <v>3532</v>
      </c>
      <c r="M963" s="64" t="s">
        <v>54</v>
      </c>
      <c r="N963" s="64" t="s">
        <v>237</v>
      </c>
      <c r="O963" s="64" t="s">
        <v>2912</v>
      </c>
      <c r="P963" s="64" t="s">
        <v>3493</v>
      </c>
      <c r="Q963" s="64" t="s">
        <v>83</v>
      </c>
      <c r="R963" s="64" t="s">
        <v>48</v>
      </c>
      <c r="S963" s="64" t="s">
        <v>3494</v>
      </c>
      <c r="T963" s="64" t="s">
        <v>85</v>
      </c>
      <c r="U963" s="64" t="s">
        <v>88</v>
      </c>
      <c r="V963" s="64" t="s">
        <v>48</v>
      </c>
      <c r="W963" s="64" t="s">
        <v>3495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3493</v>
      </c>
      <c r="AF963" s="64" t="s">
        <v>67</v>
      </c>
      <c r="AG963" s="64" t="s">
        <v>48</v>
      </c>
      <c r="AH963" s="64" t="s">
        <v>3496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4" t="s">
        <v>3446</v>
      </c>
    </row>
    <row r="964" spans="1:43" ht="15.65" x14ac:dyDescent="0.3">
      <c r="A964" s="101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3104</v>
      </c>
      <c r="L964" s="64" t="s">
        <v>3533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3106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3107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4" t="s">
        <v>3444</v>
      </c>
    </row>
    <row r="965" spans="1:43" ht="15.65" x14ac:dyDescent="0.3">
      <c r="A965" s="101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3108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3109</v>
      </c>
      <c r="L965" s="64" t="s">
        <v>3534</v>
      </c>
      <c r="M965" s="64" t="s">
        <v>54</v>
      </c>
      <c r="N965" s="64" t="s">
        <v>350</v>
      </c>
      <c r="O965" s="64" t="s">
        <v>1065</v>
      </c>
      <c r="P965" s="64" t="s">
        <v>3111</v>
      </c>
      <c r="Q965" s="64" t="s">
        <v>83</v>
      </c>
      <c r="R965" s="64" t="s">
        <v>48</v>
      </c>
      <c r="S965" s="64" t="s">
        <v>3112</v>
      </c>
      <c r="T965" s="64" t="s">
        <v>85</v>
      </c>
      <c r="U965" s="64" t="s">
        <v>206</v>
      </c>
      <c r="V965" s="64" t="s">
        <v>48</v>
      </c>
      <c r="W965" s="64" t="s">
        <v>3113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3114</v>
      </c>
      <c r="AF965" s="64" t="s">
        <v>67</v>
      </c>
      <c r="AG965" s="64" t="s">
        <v>48</v>
      </c>
      <c r="AH965" s="64" t="s">
        <v>3115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4" t="s">
        <v>3446</v>
      </c>
    </row>
    <row r="966" spans="1:43" ht="16.3" thickBot="1" x14ac:dyDescent="0.35">
      <c r="A966" s="78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3535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3447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3597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3598</v>
      </c>
      <c r="L967" s="42" t="s">
        <v>3599</v>
      </c>
      <c r="M967" s="42" t="s">
        <v>54</v>
      </c>
      <c r="N967" s="42" t="s">
        <v>80</v>
      </c>
      <c r="O967" s="42" t="s">
        <v>3600</v>
      </c>
      <c r="P967" s="42" t="s">
        <v>3601</v>
      </c>
      <c r="Q967" s="42" t="s">
        <v>83</v>
      </c>
      <c r="R967" s="42" t="s">
        <v>48</v>
      </c>
      <c r="S967" s="42" t="s">
        <v>3602</v>
      </c>
      <c r="T967" s="42" t="s">
        <v>85</v>
      </c>
      <c r="U967" s="42" t="s">
        <v>86</v>
      </c>
      <c r="V967" s="42" t="s">
        <v>48</v>
      </c>
      <c r="W967" s="42" t="s">
        <v>3603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3604</v>
      </c>
      <c r="AF967" s="42" t="s">
        <v>67</v>
      </c>
      <c r="AG967" s="42" t="s">
        <v>48</v>
      </c>
      <c r="AH967" s="42" t="s">
        <v>3605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6" t="s">
        <v>3681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3606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3607</v>
      </c>
      <c r="L968" s="62" t="s">
        <v>3608</v>
      </c>
      <c r="M968" s="62" t="s">
        <v>54</v>
      </c>
      <c r="N968" s="62" t="s">
        <v>55</v>
      </c>
      <c r="O968" s="62" t="s">
        <v>3609</v>
      </c>
      <c r="P968" s="62" t="s">
        <v>3610</v>
      </c>
      <c r="Q968" s="62" t="s">
        <v>83</v>
      </c>
      <c r="R968" s="62" t="s">
        <v>48</v>
      </c>
      <c r="S968" s="62" t="s">
        <v>3611</v>
      </c>
      <c r="T968" s="62" t="s">
        <v>85</v>
      </c>
      <c r="U968" s="62" t="s">
        <v>228</v>
      </c>
      <c r="V968" s="62" t="s">
        <v>48</v>
      </c>
      <c r="W968" s="62" t="s">
        <v>3612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3610</v>
      </c>
      <c r="AF968" s="62" t="s">
        <v>67</v>
      </c>
      <c r="AG968" s="62" t="s">
        <v>48</v>
      </c>
      <c r="AH968" s="62" t="s">
        <v>3613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4" t="s">
        <v>3678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3614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3607</v>
      </c>
      <c r="L969" s="64" t="s">
        <v>3608</v>
      </c>
      <c r="M969" s="64" t="s">
        <v>54</v>
      </c>
      <c r="N969" s="64" t="s">
        <v>55</v>
      </c>
      <c r="O969" s="64" t="s">
        <v>3609</v>
      </c>
      <c r="P969" s="64" t="s">
        <v>3615</v>
      </c>
      <c r="Q969" s="64" t="s">
        <v>83</v>
      </c>
      <c r="R969" s="64" t="s">
        <v>48</v>
      </c>
      <c r="S969" s="64" t="s">
        <v>3616</v>
      </c>
      <c r="T969" s="64" t="s">
        <v>85</v>
      </c>
      <c r="U969" s="64" t="s">
        <v>228</v>
      </c>
      <c r="V969" s="64" t="s">
        <v>48</v>
      </c>
      <c r="W969" s="64" t="s">
        <v>3612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3610</v>
      </c>
      <c r="AF969" s="64" t="s">
        <v>67</v>
      </c>
      <c r="AG969" s="64" t="s">
        <v>48</v>
      </c>
      <c r="AH969" s="64" t="s">
        <v>3613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4" t="s">
        <v>3678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3617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3607</v>
      </c>
      <c r="L970" s="64" t="s">
        <v>3608</v>
      </c>
      <c r="M970" s="64" t="s">
        <v>54</v>
      </c>
      <c r="N970" s="64" t="s">
        <v>55</v>
      </c>
      <c r="O970" s="64" t="s">
        <v>3609</v>
      </c>
      <c r="P970" s="64" t="s">
        <v>3618</v>
      </c>
      <c r="Q970" s="64" t="s">
        <v>83</v>
      </c>
      <c r="R970" s="64" t="s">
        <v>48</v>
      </c>
      <c r="S970" s="64" t="s">
        <v>3619</v>
      </c>
      <c r="T970" s="64" t="s">
        <v>85</v>
      </c>
      <c r="U970" s="64" t="s">
        <v>228</v>
      </c>
      <c r="V970" s="64" t="s">
        <v>48</v>
      </c>
      <c r="W970" s="64" t="s">
        <v>3612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3610</v>
      </c>
      <c r="AF970" s="64" t="s">
        <v>67</v>
      </c>
      <c r="AG970" s="64" t="s">
        <v>48</v>
      </c>
      <c r="AH970" s="64" t="s">
        <v>3613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4" t="s">
        <v>3678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3620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3621</v>
      </c>
      <c r="L971" s="64" t="s">
        <v>3622</v>
      </c>
      <c r="M971" s="64" t="s">
        <v>54</v>
      </c>
      <c r="N971" s="64" t="s">
        <v>202</v>
      </c>
      <c r="O971" s="64" t="s">
        <v>203</v>
      </c>
      <c r="P971" s="64" t="s">
        <v>3623</v>
      </c>
      <c r="Q971" s="64" t="s">
        <v>57</v>
      </c>
      <c r="R971" s="64" t="s">
        <v>48</v>
      </c>
      <c r="S971" s="64" t="s">
        <v>3624</v>
      </c>
      <c r="T971" s="64" t="s">
        <v>59</v>
      </c>
      <c r="U971" s="64" t="s">
        <v>128</v>
      </c>
      <c r="V971" s="64" t="s">
        <v>48</v>
      </c>
      <c r="W971" s="64" t="s">
        <v>3625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3626</v>
      </c>
      <c r="AF971" s="64" t="s">
        <v>67</v>
      </c>
      <c r="AG971" s="64" t="s">
        <v>48</v>
      </c>
      <c r="AH971" s="64" t="s">
        <v>3627</v>
      </c>
      <c r="AI971" s="64" t="s">
        <v>48</v>
      </c>
      <c r="AJ971" s="64" t="s">
        <v>48</v>
      </c>
      <c r="AK971" s="64" t="s">
        <v>48</v>
      </c>
      <c r="AL971" s="63" t="s">
        <v>3679</v>
      </c>
      <c r="AM971" s="63" t="s">
        <v>48</v>
      </c>
      <c r="AN971" s="63"/>
      <c r="AO971" s="63" t="s">
        <v>48</v>
      </c>
      <c r="AP971" s="65" t="s">
        <v>3680</v>
      </c>
      <c r="AQ971" s="14" t="s">
        <v>3677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3628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3621</v>
      </c>
      <c r="L972" s="64" t="s">
        <v>3622</v>
      </c>
      <c r="M972" s="64" t="s">
        <v>54</v>
      </c>
      <c r="N972" s="64" t="s">
        <v>202</v>
      </c>
      <c r="O972" s="64" t="s">
        <v>203</v>
      </c>
      <c r="P972" s="64" t="s">
        <v>3623</v>
      </c>
      <c r="Q972" s="64" t="s">
        <v>57</v>
      </c>
      <c r="R972" s="64" t="s">
        <v>48</v>
      </c>
      <c r="S972" s="64" t="s">
        <v>3629</v>
      </c>
      <c r="T972" s="64" t="s">
        <v>59</v>
      </c>
      <c r="U972" s="64" t="s">
        <v>128</v>
      </c>
      <c r="V972" s="64" t="s">
        <v>48</v>
      </c>
      <c r="W972" s="64" t="s">
        <v>3625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3626</v>
      </c>
      <c r="AF972" s="64" t="s">
        <v>67</v>
      </c>
      <c r="AG972" s="64" t="s">
        <v>48</v>
      </c>
      <c r="AH972" s="64" t="s">
        <v>3627</v>
      </c>
      <c r="AI972" s="64" t="s">
        <v>48</v>
      </c>
      <c r="AJ972" s="64" t="s">
        <v>48</v>
      </c>
      <c r="AK972" s="64" t="s">
        <v>48</v>
      </c>
      <c r="AL972" s="63" t="s">
        <v>3679</v>
      </c>
      <c r="AM972" s="63" t="s">
        <v>48</v>
      </c>
      <c r="AN972" s="63"/>
      <c r="AO972" s="63" t="s">
        <v>48</v>
      </c>
      <c r="AP972" s="65" t="s">
        <v>3680</v>
      </c>
      <c r="AQ972" s="14" t="s">
        <v>3677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3630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3631</v>
      </c>
      <c r="L973" s="64" t="s">
        <v>3632</v>
      </c>
      <c r="M973" s="64" t="s">
        <v>54</v>
      </c>
      <c r="N973" s="64" t="s">
        <v>202</v>
      </c>
      <c r="O973" s="64" t="s">
        <v>203</v>
      </c>
      <c r="P973" s="64" t="s">
        <v>3633</v>
      </c>
      <c r="Q973" s="64" t="s">
        <v>57</v>
      </c>
      <c r="R973" s="64" t="s">
        <v>48</v>
      </c>
      <c r="S973" s="64" t="s">
        <v>3634</v>
      </c>
      <c r="T973" s="64" t="s">
        <v>59</v>
      </c>
      <c r="U973" s="64" t="s">
        <v>291</v>
      </c>
      <c r="V973" s="64" t="s">
        <v>48</v>
      </c>
      <c r="W973" s="64" t="s">
        <v>3625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3626</v>
      </c>
      <c r="AF973" s="64" t="s">
        <v>67</v>
      </c>
      <c r="AG973" s="64" t="s">
        <v>48</v>
      </c>
      <c r="AH973" s="64" t="s">
        <v>3635</v>
      </c>
      <c r="AI973" s="64" t="s">
        <v>48</v>
      </c>
      <c r="AJ973" s="64" t="s">
        <v>48</v>
      </c>
      <c r="AK973" s="64" t="s">
        <v>48</v>
      </c>
      <c r="AL973" s="63" t="s">
        <v>3679</v>
      </c>
      <c r="AM973" s="63" t="s">
        <v>48</v>
      </c>
      <c r="AN973" s="63"/>
      <c r="AO973" s="63" t="s">
        <v>48</v>
      </c>
      <c r="AP973" s="65" t="s">
        <v>3680</v>
      </c>
      <c r="AQ973" s="14" t="s">
        <v>3677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3636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3637</v>
      </c>
      <c r="L974" s="64" t="s">
        <v>3638</v>
      </c>
      <c r="M974" s="64" t="s">
        <v>54</v>
      </c>
      <c r="N974" s="64" t="s">
        <v>202</v>
      </c>
      <c r="O974" s="64" t="s">
        <v>203</v>
      </c>
      <c r="P974" s="64" t="s">
        <v>3639</v>
      </c>
      <c r="Q974" s="64" t="s">
        <v>83</v>
      </c>
      <c r="R974" s="64" t="s">
        <v>48</v>
      </c>
      <c r="S974" s="64" t="s">
        <v>3640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3626</v>
      </c>
      <c r="AF974" s="64" t="s">
        <v>67</v>
      </c>
      <c r="AG974" s="64" t="s">
        <v>48</v>
      </c>
      <c r="AH974" s="64" t="s">
        <v>3641</v>
      </c>
      <c r="AI974" s="64" t="s">
        <v>48</v>
      </c>
      <c r="AJ974" s="64" t="s">
        <v>48</v>
      </c>
      <c r="AK974" s="64" t="s">
        <v>48</v>
      </c>
      <c r="AL974" s="63" t="s">
        <v>3679</v>
      </c>
      <c r="AM974" s="63" t="s">
        <v>48</v>
      </c>
      <c r="AN974" s="63"/>
      <c r="AO974" s="63" t="s">
        <v>48</v>
      </c>
      <c r="AP974" s="65" t="s">
        <v>3680</v>
      </c>
      <c r="AQ974" s="14" t="s">
        <v>3677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3642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3637</v>
      </c>
      <c r="L975" s="64" t="s">
        <v>3638</v>
      </c>
      <c r="M975" s="64" t="s">
        <v>54</v>
      </c>
      <c r="N975" s="64" t="s">
        <v>202</v>
      </c>
      <c r="O975" s="64" t="s">
        <v>203</v>
      </c>
      <c r="P975" s="64" t="s">
        <v>3643</v>
      </c>
      <c r="Q975" s="64" t="s">
        <v>83</v>
      </c>
      <c r="R975" s="64" t="s">
        <v>48</v>
      </c>
      <c r="S975" s="64" t="s">
        <v>3644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3626</v>
      </c>
      <c r="AF975" s="64" t="s">
        <v>67</v>
      </c>
      <c r="AG975" s="64" t="s">
        <v>48</v>
      </c>
      <c r="AH975" s="64" t="s">
        <v>3641</v>
      </c>
      <c r="AI975" s="64" t="s">
        <v>48</v>
      </c>
      <c r="AJ975" s="64" t="s">
        <v>48</v>
      </c>
      <c r="AK975" s="64" t="s">
        <v>48</v>
      </c>
      <c r="AL975" s="63" t="s">
        <v>3679</v>
      </c>
      <c r="AM975" s="63" t="s">
        <v>48</v>
      </c>
      <c r="AN975" s="63"/>
      <c r="AO975" s="63" t="s">
        <v>48</v>
      </c>
      <c r="AP975" s="65" t="s">
        <v>3680</v>
      </c>
      <c r="AQ975" s="14" t="s">
        <v>3677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3104</v>
      </c>
      <c r="L976" s="64" t="s">
        <v>3645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3106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3107</v>
      </c>
      <c r="AI976" s="64" t="s">
        <v>48</v>
      </c>
      <c r="AJ976" s="64" t="s">
        <v>48</v>
      </c>
      <c r="AK976" s="64" t="s">
        <v>48</v>
      </c>
      <c r="AL976" s="102" t="s">
        <v>133</v>
      </c>
      <c r="AM976" s="103" t="s">
        <v>134</v>
      </c>
      <c r="AN976" s="103" t="s">
        <v>134</v>
      </c>
      <c r="AO976" s="103"/>
      <c r="AP976" s="103" t="s">
        <v>135</v>
      </c>
      <c r="AQ976" s="14" t="s">
        <v>3444</v>
      </c>
    </row>
    <row r="977" spans="1:43" ht="15.65" x14ac:dyDescent="0.3">
      <c r="A977" s="101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3108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3109</v>
      </c>
      <c r="L977" s="64" t="s">
        <v>3646</v>
      </c>
      <c r="M977" s="64" t="s">
        <v>54</v>
      </c>
      <c r="N977" s="64" t="s">
        <v>350</v>
      </c>
      <c r="O977" s="64" t="s">
        <v>1065</v>
      </c>
      <c r="P977" s="64" t="s">
        <v>3111</v>
      </c>
      <c r="Q977" s="64" t="s">
        <v>83</v>
      </c>
      <c r="R977" s="64" t="s">
        <v>48</v>
      </c>
      <c r="S977" s="64" t="s">
        <v>3112</v>
      </c>
      <c r="T977" s="64" t="s">
        <v>85</v>
      </c>
      <c r="U977" s="64" t="s">
        <v>206</v>
      </c>
      <c r="V977" s="64" t="s">
        <v>48</v>
      </c>
      <c r="W977" s="64" t="s">
        <v>3113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3114</v>
      </c>
      <c r="AF977" s="64" t="s">
        <v>67</v>
      </c>
      <c r="AG977" s="64" t="s">
        <v>48</v>
      </c>
      <c r="AH977" s="64" t="s">
        <v>3115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4" t="s">
        <v>3446</v>
      </c>
    </row>
    <row r="978" spans="1:43" ht="16.3" thickBot="1" x14ac:dyDescent="0.35">
      <c r="A978" s="78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3647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9" t="s">
        <v>133</v>
      </c>
      <c r="AM978" s="80" t="s">
        <v>134</v>
      </c>
      <c r="AN978" s="80" t="s">
        <v>134</v>
      </c>
      <c r="AO978" s="80"/>
      <c r="AP978" s="80" t="s">
        <v>135</v>
      </c>
      <c r="AQ978" s="14" t="s">
        <v>3447</v>
      </c>
    </row>
    <row r="979" spans="1:43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3682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3683</v>
      </c>
      <c r="L979" s="42" t="s">
        <v>3684</v>
      </c>
      <c r="M979" s="42" t="s">
        <v>54</v>
      </c>
      <c r="N979" s="42" t="s">
        <v>286</v>
      </c>
      <c r="O979" s="42" t="s">
        <v>287</v>
      </c>
      <c r="P979" s="42" t="s">
        <v>3685</v>
      </c>
      <c r="Q979" s="42" t="s">
        <v>57</v>
      </c>
      <c r="R979" s="42" t="s">
        <v>48</v>
      </c>
      <c r="S979" s="42" t="s">
        <v>3686</v>
      </c>
      <c r="T979" s="42" t="s">
        <v>59</v>
      </c>
      <c r="U979" s="42" t="s">
        <v>291</v>
      </c>
      <c r="V979" s="42" t="s">
        <v>48</v>
      </c>
      <c r="W979" s="42" t="s">
        <v>3687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3688</v>
      </c>
      <c r="AF979" s="42" t="s">
        <v>67</v>
      </c>
      <c r="AG979" s="42" t="s">
        <v>48</v>
      </c>
      <c r="AH979" s="42" t="s">
        <v>3689</v>
      </c>
      <c r="AI979" s="42" t="s">
        <v>48</v>
      </c>
      <c r="AJ979" s="42" t="s">
        <v>48</v>
      </c>
      <c r="AK979" s="42" t="s">
        <v>48</v>
      </c>
      <c r="AL979" s="49" t="s">
        <v>48</v>
      </c>
      <c r="AM979" s="49" t="s">
        <v>48</v>
      </c>
      <c r="AN979" s="49"/>
      <c r="AO979" s="49" t="s">
        <v>48</v>
      </c>
      <c r="AP979" s="49" t="s">
        <v>48</v>
      </c>
      <c r="AQ979" s="14" t="s">
        <v>3678</v>
      </c>
    </row>
    <row r="980" spans="1:43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3690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3683</v>
      </c>
      <c r="L980" s="62" t="s">
        <v>3684</v>
      </c>
      <c r="M980" s="62" t="s">
        <v>54</v>
      </c>
      <c r="N980" s="62" t="s">
        <v>286</v>
      </c>
      <c r="O980" s="62" t="s">
        <v>287</v>
      </c>
      <c r="P980" s="62" t="s">
        <v>3685</v>
      </c>
      <c r="Q980" s="62" t="s">
        <v>57</v>
      </c>
      <c r="R980" s="62" t="s">
        <v>48</v>
      </c>
      <c r="S980" s="62" t="s">
        <v>3691</v>
      </c>
      <c r="T980" s="62" t="s">
        <v>59</v>
      </c>
      <c r="U980" s="62" t="s">
        <v>291</v>
      </c>
      <c r="V980" s="62" t="s">
        <v>48</v>
      </c>
      <c r="W980" s="62" t="s">
        <v>3687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3688</v>
      </c>
      <c r="AF980" s="62" t="s">
        <v>67</v>
      </c>
      <c r="AG980" s="62" t="s">
        <v>48</v>
      </c>
      <c r="AH980" s="62" t="s">
        <v>3689</v>
      </c>
      <c r="AI980" s="62" t="s">
        <v>48</v>
      </c>
      <c r="AJ980" s="62" t="s">
        <v>48</v>
      </c>
      <c r="AK980" s="62" t="s">
        <v>48</v>
      </c>
      <c r="AL980" s="63" t="s">
        <v>48</v>
      </c>
      <c r="AM980" s="63" t="s">
        <v>48</v>
      </c>
      <c r="AN980" s="63"/>
      <c r="AO980" s="63" t="s">
        <v>48</v>
      </c>
      <c r="AP980" s="63" t="s">
        <v>48</v>
      </c>
      <c r="AQ980" s="14" t="s">
        <v>3678</v>
      </c>
    </row>
    <row r="981" spans="1:43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3692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3693</v>
      </c>
      <c r="L981" s="62" t="s">
        <v>3694</v>
      </c>
      <c r="M981" s="62" t="s">
        <v>54</v>
      </c>
      <c r="N981" s="62" t="s">
        <v>350</v>
      </c>
      <c r="O981" s="62" t="s">
        <v>1834</v>
      </c>
      <c r="P981" s="62" t="s">
        <v>3695</v>
      </c>
      <c r="Q981" s="62" t="s">
        <v>57</v>
      </c>
      <c r="R981" s="62" t="s">
        <v>48</v>
      </c>
      <c r="S981" s="62" t="s">
        <v>3696</v>
      </c>
      <c r="T981" s="62" t="s">
        <v>59</v>
      </c>
      <c r="U981" s="62" t="s">
        <v>735</v>
      </c>
      <c r="V981" s="62" t="s">
        <v>48</v>
      </c>
      <c r="W981" s="62" t="s">
        <v>3697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3695</v>
      </c>
      <c r="AF981" s="62" t="s">
        <v>67</v>
      </c>
      <c r="AG981" s="62" t="s">
        <v>48</v>
      </c>
      <c r="AH981" s="62" t="s">
        <v>3698</v>
      </c>
      <c r="AI981" s="62" t="s">
        <v>48</v>
      </c>
      <c r="AJ981" s="62" t="s">
        <v>48</v>
      </c>
      <c r="AK981" s="62" t="s">
        <v>48</v>
      </c>
      <c r="AL981" s="63" t="s">
        <v>48</v>
      </c>
      <c r="AM981" s="63" t="s">
        <v>48</v>
      </c>
      <c r="AN981" s="63"/>
      <c r="AO981" s="63" t="s">
        <v>48</v>
      </c>
      <c r="AP981" s="63" t="s">
        <v>48</v>
      </c>
      <c r="AQ981" s="14" t="s">
        <v>3712</v>
      </c>
    </row>
    <row r="982" spans="1:43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3699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3693</v>
      </c>
      <c r="L982" s="62" t="s">
        <v>3694</v>
      </c>
      <c r="M982" s="62" t="s">
        <v>54</v>
      </c>
      <c r="N982" s="62" t="s">
        <v>350</v>
      </c>
      <c r="O982" s="62" t="s">
        <v>1834</v>
      </c>
      <c r="P982" s="62" t="s">
        <v>3695</v>
      </c>
      <c r="Q982" s="62" t="s">
        <v>57</v>
      </c>
      <c r="R982" s="62" t="s">
        <v>48</v>
      </c>
      <c r="S982" s="62" t="s">
        <v>3700</v>
      </c>
      <c r="T982" s="62" t="s">
        <v>59</v>
      </c>
      <c r="U982" s="62" t="s">
        <v>735</v>
      </c>
      <c r="V982" s="62" t="s">
        <v>48</v>
      </c>
      <c r="W982" s="62" t="s">
        <v>3697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3695</v>
      </c>
      <c r="AF982" s="62" t="s">
        <v>67</v>
      </c>
      <c r="AG982" s="62" t="s">
        <v>48</v>
      </c>
      <c r="AH982" s="62" t="s">
        <v>3698</v>
      </c>
      <c r="AI982" s="62" t="s">
        <v>48</v>
      </c>
      <c r="AJ982" s="62" t="s">
        <v>48</v>
      </c>
      <c r="AK982" s="62" t="s">
        <v>48</v>
      </c>
      <c r="AL982" s="63" t="s">
        <v>48</v>
      </c>
      <c r="AM982" s="63" t="s">
        <v>48</v>
      </c>
      <c r="AN982" s="63"/>
      <c r="AO982" s="63" t="s">
        <v>48</v>
      </c>
      <c r="AP982" s="63" t="s">
        <v>48</v>
      </c>
      <c r="AQ982" s="14" t="s">
        <v>3712</v>
      </c>
    </row>
    <row r="983" spans="1:43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3597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3598</v>
      </c>
      <c r="L983" s="62" t="s">
        <v>3701</v>
      </c>
      <c r="M983" s="62" t="s">
        <v>54</v>
      </c>
      <c r="N983" s="62" t="s">
        <v>80</v>
      </c>
      <c r="O983" s="62" t="s">
        <v>3600</v>
      </c>
      <c r="P983" s="62" t="s">
        <v>3601</v>
      </c>
      <c r="Q983" s="62" t="s">
        <v>83</v>
      </c>
      <c r="R983" s="62" t="s">
        <v>48</v>
      </c>
      <c r="S983" s="62" t="s">
        <v>3602</v>
      </c>
      <c r="T983" s="62" t="s">
        <v>85</v>
      </c>
      <c r="U983" s="62" t="s">
        <v>86</v>
      </c>
      <c r="V983" s="62" t="s">
        <v>48</v>
      </c>
      <c r="W983" s="62" t="s">
        <v>3603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3604</v>
      </c>
      <c r="AF983" s="62" t="s">
        <v>67</v>
      </c>
      <c r="AG983" s="62" t="s">
        <v>48</v>
      </c>
      <c r="AH983" s="62" t="s">
        <v>3605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6" t="s">
        <v>3681</v>
      </c>
    </row>
    <row r="984" spans="1:43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3606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3607</v>
      </c>
      <c r="L984" s="62" t="s">
        <v>3702</v>
      </c>
      <c r="M984" s="62" t="s">
        <v>54</v>
      </c>
      <c r="N984" s="62" t="s">
        <v>55</v>
      </c>
      <c r="O984" s="62" t="s">
        <v>3609</v>
      </c>
      <c r="P984" s="62" t="s">
        <v>3610</v>
      </c>
      <c r="Q984" s="62" t="s">
        <v>83</v>
      </c>
      <c r="R984" s="62" t="s">
        <v>48</v>
      </c>
      <c r="S984" s="62" t="s">
        <v>3611</v>
      </c>
      <c r="T984" s="62" t="s">
        <v>85</v>
      </c>
      <c r="U984" s="62" t="s">
        <v>228</v>
      </c>
      <c r="V984" s="62" t="s">
        <v>48</v>
      </c>
      <c r="W984" s="62" t="s">
        <v>3612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3610</v>
      </c>
      <c r="AF984" s="62" t="s">
        <v>67</v>
      </c>
      <c r="AG984" s="62" t="s">
        <v>48</v>
      </c>
      <c r="AH984" s="62" t="s">
        <v>3613</v>
      </c>
      <c r="AI984" s="62" t="s">
        <v>48</v>
      </c>
      <c r="AJ984" s="62" t="s">
        <v>48</v>
      </c>
      <c r="AK984" s="62" t="s">
        <v>48</v>
      </c>
      <c r="AL984" s="63" t="s">
        <v>48</v>
      </c>
      <c r="AM984" s="63" t="s">
        <v>48</v>
      </c>
      <c r="AN984" s="63"/>
      <c r="AO984" s="63" t="s">
        <v>48</v>
      </c>
      <c r="AP984" s="63" t="s">
        <v>48</v>
      </c>
      <c r="AQ984" s="14" t="s">
        <v>3678</v>
      </c>
    </row>
    <row r="985" spans="1:43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3614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3607</v>
      </c>
      <c r="L985" s="62" t="s">
        <v>3702</v>
      </c>
      <c r="M985" s="62" t="s">
        <v>54</v>
      </c>
      <c r="N985" s="62" t="s">
        <v>55</v>
      </c>
      <c r="O985" s="62" t="s">
        <v>3609</v>
      </c>
      <c r="P985" s="62" t="s">
        <v>3615</v>
      </c>
      <c r="Q985" s="62" t="s">
        <v>83</v>
      </c>
      <c r="R985" s="62" t="s">
        <v>48</v>
      </c>
      <c r="S985" s="62" t="s">
        <v>3616</v>
      </c>
      <c r="T985" s="62" t="s">
        <v>85</v>
      </c>
      <c r="U985" s="62" t="s">
        <v>228</v>
      </c>
      <c r="V985" s="62" t="s">
        <v>48</v>
      </c>
      <c r="W985" s="62" t="s">
        <v>3612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3610</v>
      </c>
      <c r="AF985" s="62" t="s">
        <v>67</v>
      </c>
      <c r="AG985" s="62" t="s">
        <v>48</v>
      </c>
      <c r="AH985" s="62" t="s">
        <v>3613</v>
      </c>
      <c r="AI985" s="62" t="s">
        <v>48</v>
      </c>
      <c r="AJ985" s="62" t="s">
        <v>48</v>
      </c>
      <c r="AK985" s="62" t="s">
        <v>48</v>
      </c>
      <c r="AL985" s="63" t="s">
        <v>48</v>
      </c>
      <c r="AM985" s="63" t="s">
        <v>48</v>
      </c>
      <c r="AN985" s="63"/>
      <c r="AO985" s="63" t="s">
        <v>48</v>
      </c>
      <c r="AP985" s="63" t="s">
        <v>48</v>
      </c>
      <c r="AQ985" s="14" t="s">
        <v>3678</v>
      </c>
    </row>
    <row r="986" spans="1:43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3617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3607</v>
      </c>
      <c r="L986" s="62" t="s">
        <v>3702</v>
      </c>
      <c r="M986" s="62" t="s">
        <v>54</v>
      </c>
      <c r="N986" s="62" t="s">
        <v>55</v>
      </c>
      <c r="O986" s="62" t="s">
        <v>3609</v>
      </c>
      <c r="P986" s="62" t="s">
        <v>3618</v>
      </c>
      <c r="Q986" s="62" t="s">
        <v>83</v>
      </c>
      <c r="R986" s="62" t="s">
        <v>48</v>
      </c>
      <c r="S986" s="62" t="s">
        <v>3619</v>
      </c>
      <c r="T986" s="62" t="s">
        <v>85</v>
      </c>
      <c r="U986" s="62" t="s">
        <v>228</v>
      </c>
      <c r="V986" s="62" t="s">
        <v>48</v>
      </c>
      <c r="W986" s="62" t="s">
        <v>3612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3610</v>
      </c>
      <c r="AF986" s="62" t="s">
        <v>67</v>
      </c>
      <c r="AG986" s="62" t="s">
        <v>48</v>
      </c>
      <c r="AH986" s="62" t="s">
        <v>3613</v>
      </c>
      <c r="AI986" s="62" t="s">
        <v>48</v>
      </c>
      <c r="AJ986" s="62" t="s">
        <v>48</v>
      </c>
      <c r="AK986" s="62" t="s">
        <v>48</v>
      </c>
      <c r="AL986" s="63" t="s">
        <v>48</v>
      </c>
      <c r="AM986" s="63" t="s">
        <v>48</v>
      </c>
      <c r="AN986" s="63"/>
      <c r="AO986" s="63" t="s">
        <v>48</v>
      </c>
      <c r="AP986" s="63" t="s">
        <v>48</v>
      </c>
      <c r="AQ986" s="14" t="s">
        <v>3678</v>
      </c>
    </row>
    <row r="987" spans="1:43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3620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3621</v>
      </c>
      <c r="L987" s="62" t="s">
        <v>3703</v>
      </c>
      <c r="M987" s="62" t="s">
        <v>54</v>
      </c>
      <c r="N987" s="62" t="s">
        <v>202</v>
      </c>
      <c r="O987" s="62" t="s">
        <v>203</v>
      </c>
      <c r="P987" s="62" t="s">
        <v>3623</v>
      </c>
      <c r="Q987" s="62" t="s">
        <v>57</v>
      </c>
      <c r="R987" s="62" t="s">
        <v>48</v>
      </c>
      <c r="S987" s="62" t="s">
        <v>3624</v>
      </c>
      <c r="T987" s="62" t="s">
        <v>59</v>
      </c>
      <c r="U987" s="62" t="s">
        <v>128</v>
      </c>
      <c r="V987" s="62" t="s">
        <v>48</v>
      </c>
      <c r="W987" s="62" t="s">
        <v>3625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3626</v>
      </c>
      <c r="AF987" s="62" t="s">
        <v>67</v>
      </c>
      <c r="AG987" s="62" t="s">
        <v>48</v>
      </c>
      <c r="AH987" s="62" t="s">
        <v>3627</v>
      </c>
      <c r="AI987" s="62" t="s">
        <v>48</v>
      </c>
      <c r="AJ987" s="62" t="s">
        <v>48</v>
      </c>
      <c r="AK987" s="62" t="s">
        <v>48</v>
      </c>
      <c r="AL987" s="74" t="s">
        <v>69</v>
      </c>
      <c r="AM987" s="74" t="s">
        <v>48</v>
      </c>
      <c r="AN987" s="74"/>
      <c r="AO987" s="74" t="s">
        <v>48</v>
      </c>
      <c r="AP987" s="74" t="s">
        <v>3745</v>
      </c>
      <c r="AQ987" s="14" t="s">
        <v>3677</v>
      </c>
    </row>
    <row r="988" spans="1:43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3628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3621</v>
      </c>
      <c r="L988" s="62" t="s">
        <v>3703</v>
      </c>
      <c r="M988" s="62" t="s">
        <v>54</v>
      </c>
      <c r="N988" s="62" t="s">
        <v>202</v>
      </c>
      <c r="O988" s="62" t="s">
        <v>203</v>
      </c>
      <c r="P988" s="62" t="s">
        <v>3623</v>
      </c>
      <c r="Q988" s="62" t="s">
        <v>57</v>
      </c>
      <c r="R988" s="62" t="s">
        <v>48</v>
      </c>
      <c r="S988" s="62" t="s">
        <v>3629</v>
      </c>
      <c r="T988" s="62" t="s">
        <v>59</v>
      </c>
      <c r="U988" s="62" t="s">
        <v>128</v>
      </c>
      <c r="V988" s="62" t="s">
        <v>48</v>
      </c>
      <c r="W988" s="62" t="s">
        <v>3625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3626</v>
      </c>
      <c r="AF988" s="62" t="s">
        <v>67</v>
      </c>
      <c r="AG988" s="62" t="s">
        <v>48</v>
      </c>
      <c r="AH988" s="62" t="s">
        <v>3627</v>
      </c>
      <c r="AI988" s="62" t="s">
        <v>48</v>
      </c>
      <c r="AJ988" s="62" t="s">
        <v>48</v>
      </c>
      <c r="AK988" s="62" t="s">
        <v>48</v>
      </c>
      <c r="AL988" s="74" t="s">
        <v>69</v>
      </c>
      <c r="AM988" s="74" t="s">
        <v>48</v>
      </c>
      <c r="AN988" s="74"/>
      <c r="AO988" s="74" t="s">
        <v>48</v>
      </c>
      <c r="AP988" s="74" t="s">
        <v>3745</v>
      </c>
      <c r="AQ988" s="14" t="s">
        <v>3677</v>
      </c>
    </row>
    <row r="989" spans="1:43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3630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3631</v>
      </c>
      <c r="L989" s="62" t="s">
        <v>3704</v>
      </c>
      <c r="M989" s="62" t="s">
        <v>54</v>
      </c>
      <c r="N989" s="62" t="s">
        <v>202</v>
      </c>
      <c r="O989" s="62" t="s">
        <v>203</v>
      </c>
      <c r="P989" s="62" t="s">
        <v>3633</v>
      </c>
      <c r="Q989" s="62" t="s">
        <v>57</v>
      </c>
      <c r="R989" s="62" t="s">
        <v>48</v>
      </c>
      <c r="S989" s="62" t="s">
        <v>3634</v>
      </c>
      <c r="T989" s="62" t="s">
        <v>59</v>
      </c>
      <c r="U989" s="62" t="s">
        <v>291</v>
      </c>
      <c r="V989" s="62" t="s">
        <v>48</v>
      </c>
      <c r="W989" s="62" t="s">
        <v>3625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3626</v>
      </c>
      <c r="AF989" s="62" t="s">
        <v>67</v>
      </c>
      <c r="AG989" s="62" t="s">
        <v>48</v>
      </c>
      <c r="AH989" s="62" t="s">
        <v>3635</v>
      </c>
      <c r="AI989" s="62" t="s">
        <v>48</v>
      </c>
      <c r="AJ989" s="62" t="s">
        <v>48</v>
      </c>
      <c r="AK989" s="62" t="s">
        <v>48</v>
      </c>
      <c r="AL989" s="74" t="s">
        <v>69</v>
      </c>
      <c r="AM989" s="74" t="s">
        <v>48</v>
      </c>
      <c r="AN989" s="74"/>
      <c r="AO989" s="74" t="s">
        <v>48</v>
      </c>
      <c r="AP989" s="74" t="s">
        <v>3745</v>
      </c>
      <c r="AQ989" s="14" t="s">
        <v>3677</v>
      </c>
    </row>
    <row r="990" spans="1:43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3636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3637</v>
      </c>
      <c r="L990" s="62" t="s">
        <v>3705</v>
      </c>
      <c r="M990" s="62" t="s">
        <v>54</v>
      </c>
      <c r="N990" s="62" t="s">
        <v>202</v>
      </c>
      <c r="O990" s="62" t="s">
        <v>203</v>
      </c>
      <c r="P990" s="62" t="s">
        <v>3639</v>
      </c>
      <c r="Q990" s="62" t="s">
        <v>83</v>
      </c>
      <c r="R990" s="62" t="s">
        <v>48</v>
      </c>
      <c r="S990" s="62" t="s">
        <v>3640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3626</v>
      </c>
      <c r="AF990" s="62" t="s">
        <v>67</v>
      </c>
      <c r="AG990" s="62" t="s">
        <v>48</v>
      </c>
      <c r="AH990" s="62" t="s">
        <v>3641</v>
      </c>
      <c r="AI990" s="62" t="s">
        <v>48</v>
      </c>
      <c r="AJ990" s="62" t="s">
        <v>48</v>
      </c>
      <c r="AK990" s="62" t="s">
        <v>48</v>
      </c>
      <c r="AL990" s="74" t="s">
        <v>69</v>
      </c>
      <c r="AM990" s="74" t="s">
        <v>48</v>
      </c>
      <c r="AN990" s="74"/>
      <c r="AO990" s="74" t="s">
        <v>48</v>
      </c>
      <c r="AP990" s="74" t="s">
        <v>3745</v>
      </c>
      <c r="AQ990" s="14" t="s">
        <v>3677</v>
      </c>
    </row>
    <row r="991" spans="1:43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3642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3637</v>
      </c>
      <c r="L991" s="62" t="s">
        <v>3705</v>
      </c>
      <c r="M991" s="62" t="s">
        <v>54</v>
      </c>
      <c r="N991" s="62" t="s">
        <v>202</v>
      </c>
      <c r="O991" s="62" t="s">
        <v>203</v>
      </c>
      <c r="P991" s="62" t="s">
        <v>3643</v>
      </c>
      <c r="Q991" s="62" t="s">
        <v>83</v>
      </c>
      <c r="R991" s="62" t="s">
        <v>48</v>
      </c>
      <c r="S991" s="62" t="s">
        <v>3644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3626</v>
      </c>
      <c r="AF991" s="62" t="s">
        <v>67</v>
      </c>
      <c r="AG991" s="62" t="s">
        <v>48</v>
      </c>
      <c r="AH991" s="62" t="s">
        <v>3641</v>
      </c>
      <c r="AI991" s="62" t="s">
        <v>48</v>
      </c>
      <c r="AJ991" s="62" t="s">
        <v>48</v>
      </c>
      <c r="AK991" s="62" t="s">
        <v>48</v>
      </c>
      <c r="AL991" s="74" t="s">
        <v>69</v>
      </c>
      <c r="AM991" s="74" t="s">
        <v>48</v>
      </c>
      <c r="AN991" s="74"/>
      <c r="AO991" s="74" t="s">
        <v>48</v>
      </c>
      <c r="AP991" s="74" t="s">
        <v>3745</v>
      </c>
      <c r="AQ991" s="14" t="s">
        <v>3677</v>
      </c>
    </row>
    <row r="992" spans="1:43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3104</v>
      </c>
      <c r="L992" s="64" t="s">
        <v>3706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3106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3107</v>
      </c>
      <c r="AI992" s="64" t="s">
        <v>48</v>
      </c>
      <c r="AJ992" s="64" t="s">
        <v>48</v>
      </c>
      <c r="AK992" s="64" t="s">
        <v>48</v>
      </c>
      <c r="AL992" s="102" t="s">
        <v>133</v>
      </c>
      <c r="AM992" s="103" t="s">
        <v>134</v>
      </c>
      <c r="AN992" s="103" t="s">
        <v>134</v>
      </c>
      <c r="AO992" s="103"/>
      <c r="AP992" s="103" t="s">
        <v>135</v>
      </c>
      <c r="AQ992" s="14" t="s">
        <v>3444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3707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4" t="s">
        <v>3447</v>
      </c>
    </row>
  </sheetData>
  <autoFilter ref="A1:AU885" xr:uid="{00000000-0001-0000-0700-000000000000}"/>
  <phoneticPr fontId="2" type="noConversion"/>
  <conditionalFormatting sqref="E2:E11">
    <cfRule type="cellIs" dxfId="80" priority="82" operator="between">
      <formula>16</formula>
      <formula>99999</formula>
    </cfRule>
  </conditionalFormatting>
  <conditionalFormatting sqref="E12:E24">
    <cfRule type="cellIs" dxfId="79" priority="81" operator="between">
      <formula>16</formula>
      <formula>99999</formula>
    </cfRule>
  </conditionalFormatting>
  <conditionalFormatting sqref="E25:E36">
    <cfRule type="cellIs" dxfId="78" priority="80" operator="between">
      <formula>16</formula>
      <formula>99999</formula>
    </cfRule>
  </conditionalFormatting>
  <conditionalFormatting sqref="E37:E48">
    <cfRule type="cellIs" dxfId="77" priority="79" operator="between">
      <formula>16</formula>
      <formula>99999</formula>
    </cfRule>
  </conditionalFormatting>
  <conditionalFormatting sqref="E49:E59">
    <cfRule type="cellIs" dxfId="76" priority="78" operator="between">
      <formula>16</formula>
      <formula>99999</formula>
    </cfRule>
  </conditionalFormatting>
  <conditionalFormatting sqref="E60:E72">
    <cfRule type="cellIs" dxfId="75" priority="77" operator="between">
      <formula>16</formula>
      <formula>99999</formula>
    </cfRule>
  </conditionalFormatting>
  <conditionalFormatting sqref="E73:E86">
    <cfRule type="cellIs" dxfId="74" priority="76" operator="between">
      <formula>16</formula>
      <formula>99999</formula>
    </cfRule>
  </conditionalFormatting>
  <conditionalFormatting sqref="E87:E112">
    <cfRule type="cellIs" dxfId="73" priority="75" operator="between">
      <formula>16</formula>
      <formula>99999</formula>
    </cfRule>
  </conditionalFormatting>
  <conditionalFormatting sqref="E113:E126">
    <cfRule type="cellIs" dxfId="72" priority="74" operator="between">
      <formula>16</formula>
      <formula>99999</formula>
    </cfRule>
  </conditionalFormatting>
  <conditionalFormatting sqref="E127:E140">
    <cfRule type="cellIs" dxfId="71" priority="73" operator="between">
      <formula>16</formula>
      <formula>99999</formula>
    </cfRule>
  </conditionalFormatting>
  <conditionalFormatting sqref="E141:E154">
    <cfRule type="cellIs" dxfId="70" priority="72" operator="between">
      <formula>16</formula>
      <formula>99999</formula>
    </cfRule>
  </conditionalFormatting>
  <conditionalFormatting sqref="E155:E166">
    <cfRule type="cellIs" dxfId="69" priority="71" operator="between">
      <formula>16</formula>
      <formula>99999</formula>
    </cfRule>
  </conditionalFormatting>
  <conditionalFormatting sqref="E167:E181">
    <cfRule type="cellIs" dxfId="68" priority="70" operator="between">
      <formula>16</formula>
      <formula>99999</formula>
    </cfRule>
  </conditionalFormatting>
  <conditionalFormatting sqref="E182:E199">
    <cfRule type="cellIs" dxfId="67" priority="69" operator="between">
      <formula>16</formula>
      <formula>99999</formula>
    </cfRule>
  </conditionalFormatting>
  <conditionalFormatting sqref="E200:E214">
    <cfRule type="cellIs" dxfId="66" priority="68" operator="between">
      <formula>16</formula>
      <formula>99999</formula>
    </cfRule>
  </conditionalFormatting>
  <conditionalFormatting sqref="E215:E234">
    <cfRule type="cellIs" dxfId="65" priority="67" operator="between">
      <formula>16</formula>
      <formula>99999</formula>
    </cfRule>
  </conditionalFormatting>
  <conditionalFormatting sqref="E235:E249">
    <cfRule type="cellIs" dxfId="64" priority="66" operator="between">
      <formula>16</formula>
      <formula>99999</formula>
    </cfRule>
  </conditionalFormatting>
  <conditionalFormatting sqref="E250:E271">
    <cfRule type="cellIs" dxfId="63" priority="65" operator="between">
      <formula>16</formula>
      <formula>99999</formula>
    </cfRule>
  </conditionalFormatting>
  <conditionalFormatting sqref="E272:E285">
    <cfRule type="cellIs" dxfId="62" priority="64" operator="between">
      <formula>16</formula>
      <formula>99999</formula>
    </cfRule>
  </conditionalFormatting>
  <conditionalFormatting sqref="E286:E293">
    <cfRule type="cellIs" dxfId="61" priority="63" operator="between">
      <formula>16</formula>
      <formula>99999</formula>
    </cfRule>
  </conditionalFormatting>
  <conditionalFormatting sqref="E294:E304">
    <cfRule type="cellIs" dxfId="60" priority="62" operator="between">
      <formula>16</formula>
      <formula>99999</formula>
    </cfRule>
  </conditionalFormatting>
  <conditionalFormatting sqref="E305:E313">
    <cfRule type="cellIs" dxfId="59" priority="61" operator="between">
      <formula>16</formula>
      <formula>99999</formula>
    </cfRule>
  </conditionalFormatting>
  <conditionalFormatting sqref="E314:E325">
    <cfRule type="cellIs" dxfId="58" priority="60" operator="between">
      <formula>16</formula>
      <formula>99999</formula>
    </cfRule>
  </conditionalFormatting>
  <conditionalFormatting sqref="E326:E345">
    <cfRule type="cellIs" dxfId="57" priority="59" operator="between">
      <formula>16</formula>
      <formula>99999</formula>
    </cfRule>
  </conditionalFormatting>
  <conditionalFormatting sqref="E346:E355">
    <cfRule type="cellIs" dxfId="56" priority="58" operator="between">
      <formula>16</formula>
      <formula>99999</formula>
    </cfRule>
  </conditionalFormatting>
  <conditionalFormatting sqref="E356:E364">
    <cfRule type="cellIs" dxfId="55" priority="57" operator="between">
      <formula>16</formula>
      <formula>99999</formula>
    </cfRule>
  </conditionalFormatting>
  <conditionalFormatting sqref="E365:E374">
    <cfRule type="cellIs" dxfId="54" priority="56" operator="between">
      <formula>16</formula>
      <formula>99999</formula>
    </cfRule>
  </conditionalFormatting>
  <conditionalFormatting sqref="E375:E398">
    <cfRule type="cellIs" dxfId="53" priority="55" operator="between">
      <formula>16</formula>
      <formula>99999</formula>
    </cfRule>
  </conditionalFormatting>
  <conditionalFormatting sqref="E399:E414">
    <cfRule type="cellIs" dxfId="52" priority="54" operator="between">
      <formula>16</formula>
      <formula>99999</formula>
    </cfRule>
  </conditionalFormatting>
  <conditionalFormatting sqref="E415:E424">
    <cfRule type="cellIs" dxfId="51" priority="53" operator="between">
      <formula>16</formula>
      <formula>99999</formula>
    </cfRule>
  </conditionalFormatting>
  <conditionalFormatting sqref="E425:E436">
    <cfRule type="cellIs" dxfId="50" priority="52" operator="between">
      <formula>16</formula>
      <formula>99999</formula>
    </cfRule>
  </conditionalFormatting>
  <conditionalFormatting sqref="E437:E447">
    <cfRule type="cellIs" dxfId="49" priority="51" operator="between">
      <formula>16</formula>
      <formula>99999</formula>
    </cfRule>
  </conditionalFormatting>
  <conditionalFormatting sqref="E448:E462">
    <cfRule type="cellIs" dxfId="48" priority="50" operator="between">
      <formula>16</formula>
      <formula>99999</formula>
    </cfRule>
  </conditionalFormatting>
  <conditionalFormatting sqref="E463:E478">
    <cfRule type="cellIs" dxfId="47" priority="49" operator="between">
      <formula>16</formula>
      <formula>99999</formula>
    </cfRule>
  </conditionalFormatting>
  <conditionalFormatting sqref="E479:E496">
    <cfRule type="cellIs" dxfId="46" priority="48" operator="between">
      <formula>16</formula>
      <formula>99999</formula>
    </cfRule>
  </conditionalFormatting>
  <conditionalFormatting sqref="E497:E507">
    <cfRule type="cellIs" dxfId="45" priority="47" operator="between">
      <formula>16</formula>
      <formula>99999</formula>
    </cfRule>
  </conditionalFormatting>
  <conditionalFormatting sqref="E508:E529">
    <cfRule type="cellIs" dxfId="44" priority="46" operator="between">
      <formula>16</formula>
      <formula>99999</formula>
    </cfRule>
  </conditionalFormatting>
  <conditionalFormatting sqref="E530:E536">
    <cfRule type="cellIs" dxfId="43" priority="45" operator="between">
      <formula>16</formula>
      <formula>99999</formula>
    </cfRule>
  </conditionalFormatting>
  <conditionalFormatting sqref="E537:E546">
    <cfRule type="cellIs" dxfId="42" priority="44" operator="between">
      <formula>16</formula>
      <formula>99999</formula>
    </cfRule>
  </conditionalFormatting>
  <conditionalFormatting sqref="E547:E562">
    <cfRule type="cellIs" dxfId="41" priority="43" operator="between">
      <formula>16</formula>
      <formula>99999</formula>
    </cfRule>
  </conditionalFormatting>
  <conditionalFormatting sqref="E563:E572">
    <cfRule type="cellIs" dxfId="40" priority="42" operator="between">
      <formula>16</formula>
      <formula>99999</formula>
    </cfRule>
  </conditionalFormatting>
  <conditionalFormatting sqref="E573:E581">
    <cfRule type="cellIs" dxfId="39" priority="41" operator="between">
      <formula>16</formula>
      <formula>99999</formula>
    </cfRule>
  </conditionalFormatting>
  <conditionalFormatting sqref="E582:E591">
    <cfRule type="cellIs" dxfId="38" priority="40" operator="between">
      <formula>16</formula>
      <formula>99999</formula>
    </cfRule>
  </conditionalFormatting>
  <conditionalFormatting sqref="E592:E601">
    <cfRule type="cellIs" dxfId="37" priority="39" operator="between">
      <formula>16</formula>
      <formula>99999</formula>
    </cfRule>
  </conditionalFormatting>
  <conditionalFormatting sqref="E602:E613">
    <cfRule type="cellIs" dxfId="36" priority="38" operator="between">
      <formula>16</formula>
      <formula>99999</formula>
    </cfRule>
  </conditionalFormatting>
  <conditionalFormatting sqref="E614:E623">
    <cfRule type="cellIs" dxfId="35" priority="37" operator="between">
      <formula>16</formula>
      <formula>99999</formula>
    </cfRule>
  </conditionalFormatting>
  <conditionalFormatting sqref="E624:E633">
    <cfRule type="cellIs" dxfId="34" priority="36" operator="between">
      <formula>16</formula>
      <formula>99999</formula>
    </cfRule>
  </conditionalFormatting>
  <conditionalFormatting sqref="E634:E642">
    <cfRule type="cellIs" dxfId="33" priority="35" operator="between">
      <formula>16</formula>
      <formula>99999</formula>
    </cfRule>
  </conditionalFormatting>
  <conditionalFormatting sqref="E643:E650">
    <cfRule type="cellIs" dxfId="32" priority="34" operator="between">
      <formula>16</formula>
      <formula>99999</formula>
    </cfRule>
  </conditionalFormatting>
  <conditionalFormatting sqref="E651:E661">
    <cfRule type="cellIs" dxfId="31" priority="33" operator="between">
      <formula>16</formula>
      <formula>99999</formula>
    </cfRule>
  </conditionalFormatting>
  <conditionalFormatting sqref="E662:E679">
    <cfRule type="cellIs" dxfId="30" priority="32" operator="between">
      <formula>16</formula>
      <formula>99999</formula>
    </cfRule>
  </conditionalFormatting>
  <conditionalFormatting sqref="E680:E696">
    <cfRule type="cellIs" dxfId="29" priority="31" operator="between">
      <formula>16</formula>
      <formula>99999</formula>
    </cfRule>
  </conditionalFormatting>
  <conditionalFormatting sqref="E697:E707">
    <cfRule type="cellIs" dxfId="28" priority="30" operator="between">
      <formula>16</formula>
      <formula>99999</formula>
    </cfRule>
  </conditionalFormatting>
  <conditionalFormatting sqref="E743:E750">
    <cfRule type="cellIs" dxfId="27" priority="29" operator="between">
      <formula>16</formula>
      <formula>99999</formula>
    </cfRule>
  </conditionalFormatting>
  <conditionalFormatting sqref="E708:E714">
    <cfRule type="cellIs" dxfId="26" priority="28" operator="between">
      <formula>16</formula>
      <formula>99999</formula>
    </cfRule>
  </conditionalFormatting>
  <conditionalFormatting sqref="E715:E722">
    <cfRule type="cellIs" dxfId="25" priority="27" operator="between">
      <formula>16</formula>
      <formula>99999</formula>
    </cfRule>
  </conditionalFormatting>
  <conditionalFormatting sqref="E723:E734">
    <cfRule type="cellIs" dxfId="24" priority="26" operator="between">
      <formula>16</formula>
      <formula>99999</formula>
    </cfRule>
  </conditionalFormatting>
  <conditionalFormatting sqref="E735:E750">
    <cfRule type="cellIs" dxfId="23" priority="25" operator="between">
      <formula>16</formula>
      <formula>99999</formula>
    </cfRule>
  </conditionalFormatting>
  <conditionalFormatting sqref="E751:E756">
    <cfRule type="cellIs" dxfId="22" priority="24" operator="between">
      <formula>16</formula>
      <formula>99999</formula>
    </cfRule>
  </conditionalFormatting>
  <conditionalFormatting sqref="E757:E762">
    <cfRule type="cellIs" dxfId="21" priority="23" operator="between">
      <formula>16</formula>
      <formula>99999</formula>
    </cfRule>
  </conditionalFormatting>
  <conditionalFormatting sqref="E763:E770">
    <cfRule type="cellIs" dxfId="20" priority="22" operator="between">
      <formula>16</formula>
      <formula>99999</formula>
    </cfRule>
  </conditionalFormatting>
  <conditionalFormatting sqref="E771:E782">
    <cfRule type="cellIs" dxfId="19" priority="21" operator="between">
      <formula>16</formula>
      <formula>99999</formula>
    </cfRule>
  </conditionalFormatting>
  <conditionalFormatting sqref="E783:E792">
    <cfRule type="cellIs" dxfId="18" priority="20" operator="between">
      <formula>16</formula>
      <formula>99999</formula>
    </cfRule>
  </conditionalFormatting>
  <conditionalFormatting sqref="E793:E805">
    <cfRule type="cellIs" dxfId="17" priority="19" operator="between">
      <formula>16</formula>
      <formula>99999</formula>
    </cfRule>
  </conditionalFormatting>
  <conditionalFormatting sqref="E806:E826">
    <cfRule type="cellIs" dxfId="16" priority="18" operator="between">
      <formula>16</formula>
      <formula>99999</formula>
    </cfRule>
  </conditionalFormatting>
  <conditionalFormatting sqref="E827:E839">
    <cfRule type="cellIs" dxfId="15" priority="17" operator="between">
      <formula>16</formula>
      <formula>99999</formula>
    </cfRule>
  </conditionalFormatting>
  <conditionalFormatting sqref="E840:E849">
    <cfRule type="cellIs" dxfId="14" priority="16" operator="between">
      <formula>16</formula>
      <formula>99999</formula>
    </cfRule>
  </conditionalFormatting>
  <conditionalFormatting sqref="E850:E859">
    <cfRule type="cellIs" dxfId="13" priority="13" operator="between">
      <formula>16</formula>
      <formula>99999</formula>
    </cfRule>
  </conditionalFormatting>
  <conditionalFormatting sqref="E860:E868">
    <cfRule type="cellIs" dxfId="12" priority="12" operator="between">
      <formula>16</formula>
      <formula>99999</formula>
    </cfRule>
  </conditionalFormatting>
  <conditionalFormatting sqref="E869:E877">
    <cfRule type="cellIs" dxfId="11" priority="11" operator="between">
      <formula>16</formula>
      <formula>99999</formula>
    </cfRule>
  </conditionalFormatting>
  <conditionalFormatting sqref="E878:E885">
    <cfRule type="cellIs" dxfId="10" priority="10" operator="between">
      <formula>16</formula>
      <formula>99999</formula>
    </cfRule>
  </conditionalFormatting>
  <conditionalFormatting sqref="E886:E897">
    <cfRule type="cellIs" dxfId="9" priority="9" operator="between">
      <formula>16</formula>
      <formula>99999</formula>
    </cfRule>
  </conditionalFormatting>
  <conditionalFormatting sqref="E898:E909">
    <cfRule type="cellIs" dxfId="8" priority="8" operator="between">
      <formula>16</formula>
      <formula>99999</formula>
    </cfRule>
  </conditionalFormatting>
  <conditionalFormatting sqref="E910:E921">
    <cfRule type="cellIs" dxfId="7" priority="7" operator="between">
      <formula>16</formula>
      <formula>99999</formula>
    </cfRule>
  </conditionalFormatting>
  <conditionalFormatting sqref="E922:E935">
    <cfRule type="cellIs" dxfId="6" priority="6" operator="between">
      <formula>16</formula>
      <formula>99999</formula>
    </cfRule>
  </conditionalFormatting>
  <conditionalFormatting sqref="E936:E947">
    <cfRule type="cellIs" dxfId="5" priority="5" operator="between">
      <formula>16</formula>
      <formula>99999</formula>
    </cfRule>
  </conditionalFormatting>
  <conditionalFormatting sqref="E948:E959">
    <cfRule type="cellIs" dxfId="4" priority="4" operator="between">
      <formula>16</formula>
      <formula>99999</formula>
    </cfRule>
  </conditionalFormatting>
  <conditionalFormatting sqref="E960:E966">
    <cfRule type="cellIs" dxfId="3" priority="3" operator="between">
      <formula>16</formula>
      <formula>99999</formula>
    </cfRule>
  </conditionalFormatting>
  <conditionalFormatting sqref="E967:E978">
    <cfRule type="cellIs" dxfId="2" priority="2" operator="between">
      <formula>16</formula>
      <formula>99999</formula>
    </cfRule>
  </conditionalFormatting>
  <conditionalFormatting sqref="E979:E993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8"/>
  <sheetViews>
    <sheetView workbookViewId="0">
      <selection activeCell="E15" sqref="E15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8.5546875" bestFit="1" customWidth="1"/>
    <col min="5" max="5" width="41.21875" bestFit="1" customWidth="1"/>
    <col min="6" max="6" width="9.88671875" bestFit="1" customWidth="1"/>
    <col min="7" max="7" width="8.21875" bestFit="1" customWidth="1"/>
    <col min="8" max="8" width="9.88671875" bestFit="1" customWidth="1"/>
    <col min="9" max="9" width="20.6640625" bestFit="1" customWidth="1"/>
  </cols>
  <sheetData>
    <row r="1" spans="1:9" x14ac:dyDescent="0.3">
      <c r="A1" s="67" t="s">
        <v>3054</v>
      </c>
      <c r="B1" s="67" t="s">
        <v>4</v>
      </c>
      <c r="C1" s="68" t="s">
        <v>3055</v>
      </c>
      <c r="D1" s="68" t="s">
        <v>3056</v>
      </c>
      <c r="E1" s="68" t="s">
        <v>3057</v>
      </c>
      <c r="F1" s="68" t="s">
        <v>3058</v>
      </c>
      <c r="G1" s="68" t="s">
        <v>3059</v>
      </c>
      <c r="H1" s="68" t="s">
        <v>3708</v>
      </c>
      <c r="I1" s="68" t="s">
        <v>3060</v>
      </c>
    </row>
    <row r="2" spans="1:9" x14ac:dyDescent="0.3">
      <c r="A2" s="69" t="s">
        <v>3061</v>
      </c>
      <c r="B2" s="70">
        <v>3</v>
      </c>
      <c r="C2" s="71" t="s">
        <v>3062</v>
      </c>
      <c r="D2" s="71" t="s">
        <v>3648</v>
      </c>
      <c r="E2" s="71" t="s">
        <v>3063</v>
      </c>
      <c r="F2" s="71" t="s">
        <v>3064</v>
      </c>
      <c r="G2" s="71" t="s">
        <v>3065</v>
      </c>
      <c r="H2" s="71" t="s">
        <v>3709</v>
      </c>
      <c r="I2" s="71" t="s">
        <v>3649</v>
      </c>
    </row>
    <row r="3" spans="1:9" x14ac:dyDescent="0.3">
      <c r="A3" s="69" t="s">
        <v>3061</v>
      </c>
      <c r="B3" s="70">
        <v>15</v>
      </c>
      <c r="C3" s="71" t="s">
        <v>3066</v>
      </c>
      <c r="D3" s="71" t="s">
        <v>3160</v>
      </c>
      <c r="E3" s="71" t="s">
        <v>3063</v>
      </c>
      <c r="F3" s="71" t="s">
        <v>3064</v>
      </c>
      <c r="G3" s="71" t="s">
        <v>3065</v>
      </c>
      <c r="H3" s="71" t="s">
        <v>3710</v>
      </c>
      <c r="I3" s="71" t="s">
        <v>3161</v>
      </c>
    </row>
    <row r="4" spans="1:9" x14ac:dyDescent="0.3">
      <c r="A4" s="69" t="s">
        <v>3061</v>
      </c>
      <c r="B4" s="70">
        <v>15</v>
      </c>
      <c r="C4" s="71" t="s">
        <v>3062</v>
      </c>
      <c r="D4" s="71" t="s">
        <v>3160</v>
      </c>
      <c r="E4" s="71" t="s">
        <v>3063</v>
      </c>
      <c r="F4" s="71" t="s">
        <v>3064</v>
      </c>
      <c r="G4" s="71" t="s">
        <v>3065</v>
      </c>
      <c r="H4" s="71" t="s">
        <v>3710</v>
      </c>
      <c r="I4" s="71" t="s">
        <v>3161</v>
      </c>
    </row>
    <row r="5" spans="1:9" x14ac:dyDescent="0.3">
      <c r="A5" s="69" t="s">
        <v>3501</v>
      </c>
      <c r="B5" s="70">
        <v>5</v>
      </c>
      <c r="C5" s="71" t="s">
        <v>3066</v>
      </c>
      <c r="D5" s="71" t="s">
        <v>3650</v>
      </c>
      <c r="E5" s="71" t="s">
        <v>3651</v>
      </c>
      <c r="F5" s="71" t="s">
        <v>3502</v>
      </c>
      <c r="G5" s="71" t="s">
        <v>3065</v>
      </c>
      <c r="H5" s="71" t="s">
        <v>3711</v>
      </c>
      <c r="I5" s="71" t="s">
        <v>3652</v>
      </c>
    </row>
    <row r="6" spans="1:9" x14ac:dyDescent="0.3">
      <c r="A6" s="69" t="s">
        <v>3501</v>
      </c>
      <c r="B6" s="70">
        <v>5</v>
      </c>
      <c r="C6" s="71" t="s">
        <v>3066</v>
      </c>
      <c r="D6" s="71" t="s">
        <v>3651</v>
      </c>
      <c r="E6" s="71" t="s">
        <v>3650</v>
      </c>
      <c r="F6" s="71" t="s">
        <v>3503</v>
      </c>
      <c r="G6" s="71" t="s">
        <v>3065</v>
      </c>
      <c r="H6" s="71" t="s">
        <v>3711</v>
      </c>
      <c r="I6" s="71" t="s">
        <v>3652</v>
      </c>
    </row>
    <row r="7" spans="1:9" x14ac:dyDescent="0.3">
      <c r="A7" s="69" t="s">
        <v>3501</v>
      </c>
      <c r="B7" s="70">
        <v>5</v>
      </c>
      <c r="C7" s="71" t="s">
        <v>3066</v>
      </c>
      <c r="D7" s="71" t="s">
        <v>3653</v>
      </c>
      <c r="E7" s="71" t="s">
        <v>3650</v>
      </c>
      <c r="F7" s="71" t="s">
        <v>3503</v>
      </c>
      <c r="G7" s="71" t="s">
        <v>3065</v>
      </c>
      <c r="H7" s="71" t="s">
        <v>3711</v>
      </c>
      <c r="I7" s="71" t="s">
        <v>3652</v>
      </c>
    </row>
    <row r="8" spans="1:9" x14ac:dyDescent="0.3">
      <c r="A8" s="69" t="s">
        <v>3501</v>
      </c>
      <c r="B8" s="70">
        <v>1</v>
      </c>
      <c r="C8" s="71" t="s">
        <v>3066</v>
      </c>
      <c r="D8" s="71" t="s">
        <v>3505</v>
      </c>
      <c r="E8" s="71" t="s">
        <v>3504</v>
      </c>
      <c r="F8" s="71" t="s">
        <v>3503</v>
      </c>
      <c r="G8" s="71" t="s">
        <v>3065</v>
      </c>
      <c r="H8" s="71" t="s">
        <v>3711</v>
      </c>
      <c r="I8" s="71" t="s">
        <v>3506</v>
      </c>
    </row>
  </sheetData>
  <phoneticPr fontId="2" type="noConversion"/>
  <conditionalFormatting sqref="B2:B8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D33" sqref="D33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88671875" bestFit="1" customWidth="1"/>
    <col min="7" max="7" width="11.664062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8" t="s">
        <v>7</v>
      </c>
      <c r="B1" s="68" t="s">
        <v>3067</v>
      </c>
      <c r="C1" s="68" t="s">
        <v>3507</v>
      </c>
      <c r="D1" s="68" t="s">
        <v>3508</v>
      </c>
      <c r="E1" s="68" t="s">
        <v>3056</v>
      </c>
      <c r="F1" s="68" t="s">
        <v>3068</v>
      </c>
      <c r="G1" s="68" t="s">
        <v>3654</v>
      </c>
      <c r="H1" s="68" t="s">
        <v>3069</v>
      </c>
      <c r="I1" s="68" t="s">
        <v>3070</v>
      </c>
      <c r="J1" s="68" t="s">
        <v>3162</v>
      </c>
    </row>
    <row r="2" spans="1:10" x14ac:dyDescent="0.3">
      <c r="A2" s="104" t="s">
        <v>3071</v>
      </c>
      <c r="B2" s="104" t="s">
        <v>3655</v>
      </c>
      <c r="C2" s="104" t="s">
        <v>3510</v>
      </c>
      <c r="D2" s="104" t="s">
        <v>3510</v>
      </c>
      <c r="E2" s="104" t="s">
        <v>3656</v>
      </c>
      <c r="F2" s="104" t="s">
        <v>3072</v>
      </c>
      <c r="G2" s="104" t="s">
        <v>3657</v>
      </c>
      <c r="H2" s="104" t="s">
        <v>3658</v>
      </c>
      <c r="I2" s="104" t="s">
        <v>3073</v>
      </c>
      <c r="J2" s="104" t="s">
        <v>3659</v>
      </c>
    </row>
    <row r="3" spans="1:10" x14ac:dyDescent="0.3">
      <c r="A3" s="104" t="s">
        <v>3076</v>
      </c>
      <c r="B3" s="104" t="s">
        <v>3509</v>
      </c>
      <c r="C3" s="104" t="s">
        <v>3510</v>
      </c>
      <c r="D3" s="104" t="s">
        <v>3510</v>
      </c>
      <c r="E3" s="104" t="s">
        <v>3077</v>
      </c>
      <c r="F3" s="104" t="s">
        <v>3072</v>
      </c>
      <c r="G3" s="104" t="s">
        <v>3657</v>
      </c>
      <c r="H3" s="104" t="s">
        <v>3078</v>
      </c>
      <c r="I3" s="104" t="s">
        <v>3079</v>
      </c>
      <c r="J3" s="104" t="s">
        <v>3168</v>
      </c>
    </row>
    <row r="4" spans="1:10" x14ac:dyDescent="0.3">
      <c r="A4" s="104" t="s">
        <v>3071</v>
      </c>
      <c r="B4" s="104" t="s">
        <v>3511</v>
      </c>
      <c r="C4" s="104" t="s">
        <v>3510</v>
      </c>
      <c r="D4" s="104" t="s">
        <v>3510</v>
      </c>
      <c r="E4" s="104" t="s">
        <v>3077</v>
      </c>
      <c r="F4" s="104" t="s">
        <v>3072</v>
      </c>
      <c r="G4" s="104" t="s">
        <v>3657</v>
      </c>
      <c r="H4" s="104" t="s">
        <v>3080</v>
      </c>
      <c r="I4" s="104" t="s">
        <v>3079</v>
      </c>
      <c r="J4" s="104" t="s">
        <v>3512</v>
      </c>
    </row>
    <row r="5" spans="1:10" x14ac:dyDescent="0.3">
      <c r="A5" s="104" t="s">
        <v>3071</v>
      </c>
      <c r="B5" s="104" t="s">
        <v>3403</v>
      </c>
      <c r="C5" s="104" t="s">
        <v>3063</v>
      </c>
      <c r="D5" s="104" t="s">
        <v>3063</v>
      </c>
      <c r="E5" s="104" t="s">
        <v>3082</v>
      </c>
      <c r="F5" s="104" t="s">
        <v>3083</v>
      </c>
      <c r="G5" s="104" t="s">
        <v>3660</v>
      </c>
      <c r="H5" s="104" t="s">
        <v>3084</v>
      </c>
      <c r="I5" s="104" t="s">
        <v>3075</v>
      </c>
      <c r="J5" s="104" t="s">
        <v>3169</v>
      </c>
    </row>
    <row r="6" spans="1:10" x14ac:dyDescent="0.3">
      <c r="A6" s="104" t="s">
        <v>3076</v>
      </c>
      <c r="B6" s="104" t="s">
        <v>3164</v>
      </c>
      <c r="C6" s="104" t="s">
        <v>3510</v>
      </c>
      <c r="D6" s="104" t="s">
        <v>3510</v>
      </c>
      <c r="E6" s="104" t="s">
        <v>3097</v>
      </c>
      <c r="F6" s="104" t="s">
        <v>173</v>
      </c>
      <c r="G6" s="104" t="s">
        <v>3660</v>
      </c>
      <c r="H6" s="104" t="s">
        <v>3078</v>
      </c>
      <c r="I6" s="104" t="s">
        <v>3092</v>
      </c>
      <c r="J6" s="104" t="s">
        <v>3165</v>
      </c>
    </row>
    <row r="7" spans="1:10" x14ac:dyDescent="0.3">
      <c r="A7" s="104" t="s">
        <v>3071</v>
      </c>
      <c r="B7" s="104" t="s">
        <v>3166</v>
      </c>
      <c r="C7" s="104" t="s">
        <v>3510</v>
      </c>
      <c r="D7" s="104" t="s">
        <v>3510</v>
      </c>
      <c r="E7" s="104" t="s">
        <v>3097</v>
      </c>
      <c r="F7" s="104" t="s">
        <v>173</v>
      </c>
      <c r="G7" s="104" t="s">
        <v>3660</v>
      </c>
      <c r="H7" s="104" t="s">
        <v>3098</v>
      </c>
      <c r="I7" s="104" t="s">
        <v>3092</v>
      </c>
      <c r="J7" s="104" t="s">
        <v>3167</v>
      </c>
    </row>
    <row r="8" spans="1:10" x14ac:dyDescent="0.3">
      <c r="A8" s="104" t="s">
        <v>3071</v>
      </c>
      <c r="B8" s="104" t="s">
        <v>3081</v>
      </c>
      <c r="C8" s="104" t="s">
        <v>3063</v>
      </c>
      <c r="D8" s="104" t="s">
        <v>3063</v>
      </c>
      <c r="E8" s="104" t="s">
        <v>3082</v>
      </c>
      <c r="F8" s="104" t="s">
        <v>3083</v>
      </c>
      <c r="G8" s="104" t="s">
        <v>3660</v>
      </c>
      <c r="H8" s="104" t="s">
        <v>3084</v>
      </c>
      <c r="I8" s="104" t="s">
        <v>3085</v>
      </c>
      <c r="J8" s="104" t="s">
        <v>3169</v>
      </c>
    </row>
    <row r="9" spans="1:10" x14ac:dyDescent="0.3">
      <c r="A9" s="104" t="s">
        <v>3071</v>
      </c>
      <c r="B9" s="104" t="s">
        <v>3086</v>
      </c>
      <c r="C9" s="104" t="s">
        <v>3510</v>
      </c>
      <c r="D9" s="104" t="s">
        <v>3510</v>
      </c>
      <c r="E9" s="104" t="s">
        <v>3087</v>
      </c>
      <c r="F9" s="104" t="s">
        <v>3072</v>
      </c>
      <c r="G9" s="104" t="s">
        <v>3660</v>
      </c>
      <c r="H9" s="104" t="s">
        <v>3088</v>
      </c>
      <c r="I9" s="104" t="s">
        <v>3085</v>
      </c>
      <c r="J9" s="104" t="s">
        <v>3170</v>
      </c>
    </row>
    <row r="10" spans="1:10" x14ac:dyDescent="0.3">
      <c r="A10" s="104" t="s">
        <v>3071</v>
      </c>
      <c r="B10" s="104" t="s">
        <v>3089</v>
      </c>
      <c r="C10" s="104" t="s">
        <v>3510</v>
      </c>
      <c r="D10" s="104" t="s">
        <v>3510</v>
      </c>
      <c r="E10" s="104" t="s">
        <v>3090</v>
      </c>
      <c r="F10" s="104" t="s">
        <v>3072</v>
      </c>
      <c r="G10" s="104" t="s">
        <v>3660</v>
      </c>
      <c r="H10" s="104" t="s">
        <v>3091</v>
      </c>
      <c r="I10" s="104" t="s">
        <v>3092</v>
      </c>
      <c r="J10" s="104" t="s">
        <v>3171</v>
      </c>
    </row>
    <row r="11" spans="1:10" x14ac:dyDescent="0.3">
      <c r="A11" s="104" t="s">
        <v>3071</v>
      </c>
      <c r="B11" s="104" t="s">
        <v>3093</v>
      </c>
      <c r="C11" s="104" t="s">
        <v>3510</v>
      </c>
      <c r="D11" s="104" t="s">
        <v>3510</v>
      </c>
      <c r="E11" s="104" t="s">
        <v>3094</v>
      </c>
      <c r="F11" s="104" t="s">
        <v>173</v>
      </c>
      <c r="G11" s="104" t="s">
        <v>3660</v>
      </c>
      <c r="H11" s="104" t="s">
        <v>3074</v>
      </c>
      <c r="I11" s="104" t="s">
        <v>3075</v>
      </c>
      <c r="J11" s="104" t="s">
        <v>3163</v>
      </c>
    </row>
    <row r="12" spans="1:10" x14ac:dyDescent="0.3">
      <c r="A12" s="104" t="s">
        <v>3071</v>
      </c>
      <c r="B12" s="104" t="s">
        <v>3095</v>
      </c>
      <c r="C12" s="104" t="s">
        <v>3510</v>
      </c>
      <c r="D12" s="104" t="s">
        <v>3510</v>
      </c>
      <c r="E12" s="104" t="s">
        <v>3077</v>
      </c>
      <c r="F12" s="104" t="s">
        <v>3072</v>
      </c>
      <c r="G12" s="104" t="s">
        <v>3657</v>
      </c>
      <c r="H12" s="104" t="s">
        <v>3096</v>
      </c>
      <c r="I12" s="104" t="s">
        <v>3073</v>
      </c>
      <c r="J12" s="104" t="s">
        <v>3172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F39" sqref="F39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09" t="s">
        <v>3159</v>
      </c>
      <c r="B1" s="109" t="s">
        <v>3060</v>
      </c>
      <c r="C1" s="109" t="s">
        <v>3173</v>
      </c>
      <c r="D1" s="109" t="s">
        <v>3174</v>
      </c>
      <c r="E1" s="109" t="s">
        <v>15</v>
      </c>
      <c r="F1" s="109" t="s">
        <v>3175</v>
      </c>
    </row>
    <row r="2" spans="1:6" x14ac:dyDescent="0.3">
      <c r="A2" t="s">
        <v>3713</v>
      </c>
      <c r="B2" t="s">
        <v>3714</v>
      </c>
      <c r="C2" t="s">
        <v>3176</v>
      </c>
      <c r="D2" t="s">
        <v>3715</v>
      </c>
      <c r="E2" t="s">
        <v>3177</v>
      </c>
      <c r="F2" t="s">
        <v>3178</v>
      </c>
    </row>
    <row r="3" spans="1:6" x14ac:dyDescent="0.3">
      <c r="A3" t="s">
        <v>3716</v>
      </c>
      <c r="B3" t="s">
        <v>3717</v>
      </c>
      <c r="C3" t="s">
        <v>3176</v>
      </c>
      <c r="D3" t="s">
        <v>3718</v>
      </c>
      <c r="E3" t="s">
        <v>3177</v>
      </c>
      <c r="F3" t="s">
        <v>3178</v>
      </c>
    </row>
    <row r="4" spans="1:6" x14ac:dyDescent="0.3">
      <c r="A4" t="s">
        <v>3295</v>
      </c>
      <c r="B4" t="s">
        <v>3179</v>
      </c>
      <c r="C4" t="s">
        <v>3176</v>
      </c>
      <c r="D4" t="s">
        <v>3180</v>
      </c>
      <c r="E4" t="s">
        <v>3177</v>
      </c>
      <c r="F4" t="s">
        <v>3178</v>
      </c>
    </row>
    <row r="5" spans="1:6" x14ac:dyDescent="0.3">
      <c r="A5" t="s">
        <v>3661</v>
      </c>
      <c r="B5" t="s">
        <v>3662</v>
      </c>
      <c r="C5" t="s">
        <v>3176</v>
      </c>
      <c r="D5" t="s">
        <v>3719</v>
      </c>
      <c r="E5" t="s">
        <v>3181</v>
      </c>
      <c r="F5" t="s">
        <v>3182</v>
      </c>
    </row>
    <row r="6" spans="1:6" x14ac:dyDescent="0.3">
      <c r="A6" t="s">
        <v>3296</v>
      </c>
      <c r="B6" t="s">
        <v>3183</v>
      </c>
      <c r="C6" t="s">
        <v>3176</v>
      </c>
      <c r="D6" t="s">
        <v>3184</v>
      </c>
      <c r="E6" t="s">
        <v>3185</v>
      </c>
      <c r="F6" t="s">
        <v>3186</v>
      </c>
    </row>
    <row r="7" spans="1:6" x14ac:dyDescent="0.3">
      <c r="A7" t="s">
        <v>3297</v>
      </c>
      <c r="B7" t="s">
        <v>3187</v>
      </c>
      <c r="C7" t="s">
        <v>3176</v>
      </c>
      <c r="D7" t="s">
        <v>3188</v>
      </c>
      <c r="E7" t="s">
        <v>3181</v>
      </c>
      <c r="F7" t="s">
        <v>3189</v>
      </c>
    </row>
    <row r="8" spans="1:6" x14ac:dyDescent="0.3">
      <c r="A8" t="s">
        <v>3298</v>
      </c>
      <c r="B8" t="s">
        <v>3190</v>
      </c>
      <c r="C8" t="s">
        <v>3176</v>
      </c>
      <c r="D8" t="s">
        <v>3191</v>
      </c>
      <c r="E8" t="s">
        <v>3177</v>
      </c>
      <c r="F8" t="s">
        <v>3178</v>
      </c>
    </row>
    <row r="9" spans="1:6" x14ac:dyDescent="0.3">
      <c r="A9" t="s">
        <v>3192</v>
      </c>
      <c r="B9" t="s">
        <v>3193</v>
      </c>
      <c r="C9" t="s">
        <v>3176</v>
      </c>
      <c r="D9" t="s">
        <v>3194</v>
      </c>
      <c r="E9" t="s">
        <v>3181</v>
      </c>
      <c r="F9" t="s">
        <v>3195</v>
      </c>
    </row>
    <row r="10" spans="1:6" x14ac:dyDescent="0.3">
      <c r="A10" t="s">
        <v>3192</v>
      </c>
      <c r="B10" t="s">
        <v>3193</v>
      </c>
      <c r="C10" t="s">
        <v>3176</v>
      </c>
      <c r="D10" t="s">
        <v>3196</v>
      </c>
      <c r="E10" t="s">
        <v>3181</v>
      </c>
      <c r="F10" t="s">
        <v>3197</v>
      </c>
    </row>
    <row r="11" spans="1:6" x14ac:dyDescent="0.3">
      <c r="A11" t="s">
        <v>3299</v>
      </c>
      <c r="B11" t="s">
        <v>3198</v>
      </c>
      <c r="C11" t="s">
        <v>3199</v>
      </c>
      <c r="D11" t="s">
        <v>3200</v>
      </c>
      <c r="E11" t="s">
        <v>1210</v>
      </c>
      <c r="F11" t="s">
        <v>3201</v>
      </c>
    </row>
    <row r="12" spans="1:6" x14ac:dyDescent="0.3">
      <c r="A12" t="s">
        <v>3663</v>
      </c>
      <c r="B12" t="s">
        <v>3664</v>
      </c>
      <c r="C12" t="s">
        <v>3199</v>
      </c>
      <c r="D12" t="s">
        <v>3665</v>
      </c>
      <c r="E12" t="s">
        <v>1210</v>
      </c>
      <c r="F12" t="s">
        <v>3666</v>
      </c>
    </row>
    <row r="13" spans="1:6" x14ac:dyDescent="0.3">
      <c r="A13" t="s">
        <v>3300</v>
      </c>
      <c r="B13" t="s">
        <v>3202</v>
      </c>
      <c r="C13" t="s">
        <v>3199</v>
      </c>
      <c r="D13" t="s">
        <v>3203</v>
      </c>
      <c r="E13" t="s">
        <v>1210</v>
      </c>
      <c r="F13" t="s">
        <v>3204</v>
      </c>
    </row>
    <row r="14" spans="1:6" x14ac:dyDescent="0.3">
      <c r="A14" t="s">
        <v>3301</v>
      </c>
      <c r="B14" t="s">
        <v>3205</v>
      </c>
      <c r="C14" t="s">
        <v>3199</v>
      </c>
      <c r="D14" t="s">
        <v>3720</v>
      </c>
      <c r="E14" t="s">
        <v>1210</v>
      </c>
      <c r="F14" t="s">
        <v>3204</v>
      </c>
    </row>
    <row r="15" spans="1:6" x14ac:dyDescent="0.3">
      <c r="A15" t="s">
        <v>3206</v>
      </c>
      <c r="B15" t="s">
        <v>3207</v>
      </c>
      <c r="C15" t="s">
        <v>3199</v>
      </c>
      <c r="D15" t="s">
        <v>3208</v>
      </c>
      <c r="E15" t="s">
        <v>1210</v>
      </c>
      <c r="F15" t="s">
        <v>3204</v>
      </c>
    </row>
    <row r="16" spans="1:6" x14ac:dyDescent="0.3">
      <c r="A16" t="s">
        <v>3721</v>
      </c>
      <c r="B16" t="s">
        <v>3722</v>
      </c>
      <c r="C16" t="s">
        <v>3199</v>
      </c>
      <c r="D16" t="s">
        <v>3723</v>
      </c>
      <c r="E16" t="s">
        <v>1210</v>
      </c>
      <c r="F16" t="s">
        <v>3204</v>
      </c>
    </row>
    <row r="17" spans="1:6" x14ac:dyDescent="0.3">
      <c r="A17" t="s">
        <v>3667</v>
      </c>
      <c r="B17" t="s">
        <v>3668</v>
      </c>
      <c r="C17" t="s">
        <v>3199</v>
      </c>
      <c r="D17" t="s">
        <v>3669</v>
      </c>
      <c r="E17" t="s">
        <v>1210</v>
      </c>
      <c r="F17" t="s">
        <v>3670</v>
      </c>
    </row>
    <row r="18" spans="1:6" x14ac:dyDescent="0.3">
      <c r="A18" t="s">
        <v>3667</v>
      </c>
      <c r="B18" t="s">
        <v>3668</v>
      </c>
      <c r="C18" t="s">
        <v>3199</v>
      </c>
      <c r="D18" t="s">
        <v>3671</v>
      </c>
      <c r="E18" t="s">
        <v>1210</v>
      </c>
      <c r="F18" t="s">
        <v>3217</v>
      </c>
    </row>
    <row r="19" spans="1:6" x14ac:dyDescent="0.3">
      <c r="A19" t="s">
        <v>3209</v>
      </c>
      <c r="B19" t="s">
        <v>3210</v>
      </c>
      <c r="C19" t="s">
        <v>3199</v>
      </c>
      <c r="D19" t="s">
        <v>3724</v>
      </c>
      <c r="E19" t="s">
        <v>1210</v>
      </c>
      <c r="F19" t="s">
        <v>3204</v>
      </c>
    </row>
    <row r="20" spans="1:6" x14ac:dyDescent="0.3">
      <c r="A20" t="s">
        <v>3302</v>
      </c>
      <c r="B20" t="s">
        <v>3211</v>
      </c>
      <c r="C20" t="s">
        <v>3199</v>
      </c>
      <c r="D20" t="s">
        <v>3725</v>
      </c>
      <c r="E20" t="s">
        <v>1210</v>
      </c>
      <c r="F20" t="s">
        <v>3204</v>
      </c>
    </row>
    <row r="21" spans="1:6" x14ac:dyDescent="0.3">
      <c r="A21" t="s">
        <v>3439</v>
      </c>
      <c r="B21" t="s">
        <v>3440</v>
      </c>
      <c r="C21" t="s">
        <v>3199</v>
      </c>
      <c r="D21" t="s">
        <v>3726</v>
      </c>
      <c r="E21" t="s">
        <v>1210</v>
      </c>
      <c r="F21" t="s">
        <v>3204</v>
      </c>
    </row>
    <row r="22" spans="1:6" x14ac:dyDescent="0.3">
      <c r="A22" t="s">
        <v>3212</v>
      </c>
      <c r="B22" t="s">
        <v>3213</v>
      </c>
      <c r="C22" t="s">
        <v>3199</v>
      </c>
      <c r="D22" t="s">
        <v>3727</v>
      </c>
      <c r="E22" t="s">
        <v>1210</v>
      </c>
      <c r="F22" t="s">
        <v>3204</v>
      </c>
    </row>
    <row r="23" spans="1:6" x14ac:dyDescent="0.3">
      <c r="A23" t="s">
        <v>3214</v>
      </c>
      <c r="B23" t="s">
        <v>3215</v>
      </c>
      <c r="C23" t="s">
        <v>3199</v>
      </c>
      <c r="D23" t="s">
        <v>3216</v>
      </c>
      <c r="E23" t="s">
        <v>1210</v>
      </c>
      <c r="F23" t="s">
        <v>3217</v>
      </c>
    </row>
    <row r="24" spans="1:6" x14ac:dyDescent="0.3">
      <c r="A24" t="s">
        <v>3214</v>
      </c>
      <c r="B24" t="s">
        <v>3215</v>
      </c>
      <c r="C24" t="s">
        <v>3199</v>
      </c>
      <c r="D24" t="s">
        <v>3218</v>
      </c>
      <c r="E24" t="s">
        <v>1210</v>
      </c>
      <c r="F24" t="s">
        <v>3219</v>
      </c>
    </row>
    <row r="25" spans="1:6" x14ac:dyDescent="0.3">
      <c r="A25" t="s">
        <v>3220</v>
      </c>
      <c r="B25" t="s">
        <v>3221</v>
      </c>
      <c r="C25" t="s">
        <v>3199</v>
      </c>
      <c r="D25" t="s">
        <v>3728</v>
      </c>
      <c r="E25" t="s">
        <v>1210</v>
      </c>
      <c r="F25" t="s">
        <v>3204</v>
      </c>
    </row>
    <row r="26" spans="1:6" x14ac:dyDescent="0.3">
      <c r="A26" t="s">
        <v>3303</v>
      </c>
      <c r="B26" t="s">
        <v>3222</v>
      </c>
      <c r="C26" t="s">
        <v>3176</v>
      </c>
      <c r="D26" t="s">
        <v>3223</v>
      </c>
      <c r="E26" t="s">
        <v>3181</v>
      </c>
      <c r="F26" t="s">
        <v>3224</v>
      </c>
    </row>
    <row r="27" spans="1:6" x14ac:dyDescent="0.3">
      <c r="A27" t="s">
        <v>3303</v>
      </c>
      <c r="B27" t="s">
        <v>3222</v>
      </c>
      <c r="C27" t="s">
        <v>3176</v>
      </c>
      <c r="D27" t="s">
        <v>3225</v>
      </c>
      <c r="E27" t="s">
        <v>3181</v>
      </c>
      <c r="F27" t="s">
        <v>3195</v>
      </c>
    </row>
    <row r="28" spans="1:6" x14ac:dyDescent="0.3">
      <c r="A28" t="s">
        <v>3304</v>
      </c>
      <c r="B28" t="s">
        <v>3226</v>
      </c>
      <c r="C28" t="s">
        <v>3176</v>
      </c>
      <c r="D28" t="s">
        <v>3729</v>
      </c>
      <c r="E28" t="s">
        <v>3177</v>
      </c>
      <c r="F28" t="s">
        <v>3178</v>
      </c>
    </row>
    <row r="29" spans="1:6" x14ac:dyDescent="0.3">
      <c r="A29" t="s">
        <v>3305</v>
      </c>
      <c r="B29" t="s">
        <v>3227</v>
      </c>
      <c r="C29" t="s">
        <v>3228</v>
      </c>
      <c r="D29" t="s">
        <v>3229</v>
      </c>
      <c r="E29" t="s">
        <v>3181</v>
      </c>
      <c r="F29" t="s">
        <v>3182</v>
      </c>
    </row>
    <row r="30" spans="1:6" x14ac:dyDescent="0.3">
      <c r="A30" t="s">
        <v>3305</v>
      </c>
      <c r="B30" t="s">
        <v>3227</v>
      </c>
      <c r="C30" t="s">
        <v>3228</v>
      </c>
      <c r="D30" t="s">
        <v>3230</v>
      </c>
      <c r="E30" t="s">
        <v>3181</v>
      </c>
      <c r="F30" t="s">
        <v>3195</v>
      </c>
    </row>
    <row r="31" spans="1:6" x14ac:dyDescent="0.3">
      <c r="A31" t="s">
        <v>3730</v>
      </c>
      <c r="B31" t="s">
        <v>3731</v>
      </c>
      <c r="C31" t="s">
        <v>3228</v>
      </c>
      <c r="D31" t="s">
        <v>3732</v>
      </c>
      <c r="E31" t="s">
        <v>3181</v>
      </c>
      <c r="F31" t="s">
        <v>3182</v>
      </c>
    </row>
    <row r="32" spans="1:6" x14ac:dyDescent="0.3">
      <c r="A32" t="s">
        <v>3306</v>
      </c>
      <c r="B32" t="s">
        <v>3231</v>
      </c>
      <c r="C32" t="s">
        <v>3228</v>
      </c>
      <c r="D32" t="s">
        <v>3232</v>
      </c>
      <c r="E32" t="s">
        <v>1210</v>
      </c>
      <c r="F32" t="s">
        <v>3233</v>
      </c>
    </row>
    <row r="33" spans="1:6" x14ac:dyDescent="0.3">
      <c r="A33" t="s">
        <v>3306</v>
      </c>
      <c r="B33" t="s">
        <v>3231</v>
      </c>
      <c r="C33" t="s">
        <v>3228</v>
      </c>
      <c r="D33" t="s">
        <v>3733</v>
      </c>
      <c r="E33" t="s">
        <v>1210</v>
      </c>
      <c r="F33" t="s">
        <v>3734</v>
      </c>
    </row>
    <row r="34" spans="1:6" x14ac:dyDescent="0.3">
      <c r="A34" t="s">
        <v>3363</v>
      </c>
      <c r="B34" t="s">
        <v>3364</v>
      </c>
      <c r="C34" t="s">
        <v>3228</v>
      </c>
      <c r="D34" t="s">
        <v>3735</v>
      </c>
      <c r="E34" t="s">
        <v>3181</v>
      </c>
      <c r="F34" t="s">
        <v>3182</v>
      </c>
    </row>
    <row r="35" spans="1:6" x14ac:dyDescent="0.3">
      <c r="A35" t="s">
        <v>3307</v>
      </c>
      <c r="B35" t="s">
        <v>3234</v>
      </c>
      <c r="C35" t="s">
        <v>3228</v>
      </c>
      <c r="D35" t="s">
        <v>3235</v>
      </c>
      <c r="E35" t="s">
        <v>1210</v>
      </c>
      <c r="F35" t="s">
        <v>3233</v>
      </c>
    </row>
    <row r="36" spans="1:6" x14ac:dyDescent="0.3">
      <c r="A36" t="s">
        <v>3307</v>
      </c>
      <c r="B36" t="s">
        <v>3234</v>
      </c>
      <c r="C36" t="s">
        <v>3228</v>
      </c>
      <c r="D36" t="s">
        <v>3736</v>
      </c>
      <c r="E36" t="s">
        <v>3177</v>
      </c>
      <c r="F36" t="s">
        <v>3178</v>
      </c>
    </row>
    <row r="37" spans="1:6" x14ac:dyDescent="0.3">
      <c r="A37" t="s">
        <v>3308</v>
      </c>
      <c r="B37" t="s">
        <v>3236</v>
      </c>
      <c r="C37" t="s">
        <v>3228</v>
      </c>
      <c r="D37" t="s">
        <v>3672</v>
      </c>
      <c r="E37" t="s">
        <v>3177</v>
      </c>
      <c r="F37" t="s">
        <v>3178</v>
      </c>
    </row>
    <row r="38" spans="1:6" x14ac:dyDescent="0.3">
      <c r="A38" t="s">
        <v>3237</v>
      </c>
      <c r="B38" t="s">
        <v>3238</v>
      </c>
      <c r="C38" t="s">
        <v>3228</v>
      </c>
      <c r="D38" t="s">
        <v>3239</v>
      </c>
      <c r="E38" t="s">
        <v>3177</v>
      </c>
      <c r="F38" t="s">
        <v>3178</v>
      </c>
    </row>
    <row r="39" spans="1:6" x14ac:dyDescent="0.3">
      <c r="A39" t="s">
        <v>3737</v>
      </c>
      <c r="B39" t="s">
        <v>3738</v>
      </c>
      <c r="C39" t="s">
        <v>3228</v>
      </c>
      <c r="D39" t="s">
        <v>3739</v>
      </c>
      <c r="E39" t="s">
        <v>3177</v>
      </c>
      <c r="F39" t="s">
        <v>3178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8"/>
  <sheetViews>
    <sheetView workbookViewId="0">
      <selection activeCell="I1" sqref="I1:I1048576"/>
    </sheetView>
  </sheetViews>
  <sheetFormatPr defaultColWidth="9" defaultRowHeight="15.65" x14ac:dyDescent="0.3"/>
  <cols>
    <col min="1" max="1" width="12.21875" style="72" bestFit="1" customWidth="1"/>
    <col min="2" max="2" width="13.33203125" style="72" bestFit="1" customWidth="1"/>
    <col min="3" max="3" width="8.6640625" style="72" bestFit="1" customWidth="1"/>
    <col min="4" max="4" width="10.77734375" style="72" bestFit="1" customWidth="1"/>
    <col min="5" max="5" width="18" style="72" bestFit="1" customWidth="1"/>
    <col min="6" max="6" width="19.44140625" style="72" bestFit="1" customWidth="1"/>
    <col min="7" max="7" width="7.5546875" style="72" bestFit="1" customWidth="1"/>
    <col min="8" max="8" width="15.109375" style="72" bestFit="1" customWidth="1"/>
    <col min="9" max="16384" width="9" style="72"/>
  </cols>
  <sheetData>
    <row r="1" spans="1:8" x14ac:dyDescent="0.3">
      <c r="A1" s="109" t="s">
        <v>3536</v>
      </c>
      <c r="B1" s="109" t="s">
        <v>3060</v>
      </c>
      <c r="C1" s="109" t="s">
        <v>3404</v>
      </c>
      <c r="D1" s="109" t="s">
        <v>3405</v>
      </c>
      <c r="E1" s="109" t="s">
        <v>3240</v>
      </c>
      <c r="F1" s="109" t="s">
        <v>3174</v>
      </c>
      <c r="G1" s="109" t="s">
        <v>15</v>
      </c>
      <c r="H1" s="109" t="s">
        <v>3175</v>
      </c>
    </row>
    <row r="2" spans="1:8" x14ac:dyDescent="0.3">
      <c r="A2" t="s">
        <v>3309</v>
      </c>
      <c r="B2" t="s">
        <v>3241</v>
      </c>
      <c r="C2" t="s">
        <v>3406</v>
      </c>
      <c r="D2" t="s">
        <v>3407</v>
      </c>
      <c r="E2" t="s">
        <v>3242</v>
      </c>
      <c r="F2" t="s">
        <v>3243</v>
      </c>
      <c r="G2" t="s">
        <v>3177</v>
      </c>
      <c r="H2" t="s">
        <v>3244</v>
      </c>
    </row>
    <row r="3" spans="1:8" x14ac:dyDescent="0.3">
      <c r="A3" t="s">
        <v>3310</v>
      </c>
      <c r="B3" t="s">
        <v>3245</v>
      </c>
      <c r="C3" t="s">
        <v>3408</v>
      </c>
      <c r="D3" t="s">
        <v>3407</v>
      </c>
      <c r="E3" t="s">
        <v>3246</v>
      </c>
      <c r="F3" t="s">
        <v>3247</v>
      </c>
      <c r="G3" t="s">
        <v>3248</v>
      </c>
      <c r="H3" t="s">
        <v>3249</v>
      </c>
    </row>
    <row r="4" spans="1:8" x14ac:dyDescent="0.3">
      <c r="A4" t="s">
        <v>3310</v>
      </c>
      <c r="B4" t="s">
        <v>3245</v>
      </c>
      <c r="C4" t="s">
        <v>3408</v>
      </c>
      <c r="D4" t="s">
        <v>3407</v>
      </c>
      <c r="E4" t="s">
        <v>3246</v>
      </c>
      <c r="F4" t="s">
        <v>3250</v>
      </c>
      <c r="G4" t="s">
        <v>3251</v>
      </c>
      <c r="H4" t="s">
        <v>3252</v>
      </c>
    </row>
    <row r="5" spans="1:8" x14ac:dyDescent="0.3">
      <c r="A5" t="s">
        <v>3311</v>
      </c>
      <c r="B5" t="s">
        <v>3253</v>
      </c>
      <c r="C5" t="s">
        <v>3409</v>
      </c>
      <c r="D5" t="s">
        <v>3407</v>
      </c>
      <c r="E5" t="s">
        <v>3254</v>
      </c>
      <c r="F5" t="s">
        <v>3255</v>
      </c>
      <c r="G5" t="s">
        <v>3251</v>
      </c>
      <c r="H5" t="s">
        <v>3252</v>
      </c>
    </row>
    <row r="6" spans="1:8" x14ac:dyDescent="0.3">
      <c r="A6" t="s">
        <v>3312</v>
      </c>
      <c r="B6" t="s">
        <v>3256</v>
      </c>
      <c r="C6" t="s">
        <v>3410</v>
      </c>
      <c r="D6" t="s">
        <v>3407</v>
      </c>
      <c r="E6" t="s">
        <v>3257</v>
      </c>
      <c r="F6" t="s">
        <v>3258</v>
      </c>
      <c r="G6" t="s">
        <v>3251</v>
      </c>
      <c r="H6" t="s">
        <v>3252</v>
      </c>
    </row>
    <row r="7" spans="1:8" x14ac:dyDescent="0.3">
      <c r="A7" t="s">
        <v>3411</v>
      </c>
      <c r="B7" t="s">
        <v>3412</v>
      </c>
      <c r="C7" t="s">
        <v>3413</v>
      </c>
      <c r="D7" t="s">
        <v>3407</v>
      </c>
      <c r="E7" t="s">
        <v>3414</v>
      </c>
      <c r="F7" t="s">
        <v>3415</v>
      </c>
      <c r="G7" t="s">
        <v>3251</v>
      </c>
      <c r="H7" t="s">
        <v>3252</v>
      </c>
    </row>
    <row r="8" spans="1:8" x14ac:dyDescent="0.3">
      <c r="A8" t="s">
        <v>3673</v>
      </c>
      <c r="B8" t="s">
        <v>3674</v>
      </c>
      <c r="C8" t="s">
        <v>3675</v>
      </c>
      <c r="D8" t="s">
        <v>3407</v>
      </c>
      <c r="E8" t="s">
        <v>3676</v>
      </c>
      <c r="F8" t="s">
        <v>3740</v>
      </c>
      <c r="G8" t="s">
        <v>3251</v>
      </c>
      <c r="H8" t="s">
        <v>3252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5"/>
  <sheetViews>
    <sheetView workbookViewId="0">
      <selection activeCell="E36" sqref="E36"/>
    </sheetView>
  </sheetViews>
  <sheetFormatPr defaultColWidth="11.109375" defaultRowHeight="15.65" x14ac:dyDescent="0.3"/>
  <cols>
    <col min="1" max="1" width="15" style="72" bestFit="1" customWidth="1"/>
    <col min="2" max="2" width="20.21875" style="72" bestFit="1" customWidth="1"/>
    <col min="3" max="3" width="26.21875" style="72" customWidth="1"/>
    <col min="4" max="4" width="10.21875" style="72" bestFit="1" customWidth="1"/>
    <col min="5" max="5" width="15" style="72" bestFit="1" customWidth="1"/>
    <col min="6" max="6" width="37.44140625" style="72" customWidth="1"/>
    <col min="7" max="7" width="29.77734375" style="72" customWidth="1"/>
    <col min="8" max="16384" width="11.109375" style="72"/>
  </cols>
  <sheetData>
    <row r="1" spans="1:7" x14ac:dyDescent="0.3">
      <c r="A1" s="110" t="s">
        <v>3159</v>
      </c>
      <c r="B1" s="110" t="s">
        <v>3539</v>
      </c>
      <c r="C1" s="110" t="s">
        <v>3060</v>
      </c>
      <c r="D1" s="110" t="s">
        <v>15</v>
      </c>
      <c r="E1" s="110" t="s">
        <v>3540</v>
      </c>
      <c r="F1" s="110" t="s">
        <v>3175</v>
      </c>
      <c r="G1" s="110" t="s">
        <v>3174</v>
      </c>
    </row>
    <row r="2" spans="1:7" x14ac:dyDescent="0.3">
      <c r="A2" s="111" t="s">
        <v>3741</v>
      </c>
      <c r="B2" s="111" t="s">
        <v>3742</v>
      </c>
      <c r="C2" s="111" t="s">
        <v>3743</v>
      </c>
      <c r="D2" s="111" t="s">
        <v>3181</v>
      </c>
      <c r="E2" s="111" t="s">
        <v>3537</v>
      </c>
      <c r="F2" s="111" t="s">
        <v>3549</v>
      </c>
      <c r="G2" s="111" t="s">
        <v>3744</v>
      </c>
    </row>
    <row r="3" spans="1:7" x14ac:dyDescent="0.3">
      <c r="A3" s="111" t="s">
        <v>3541</v>
      </c>
      <c r="B3" s="111" t="s">
        <v>3542</v>
      </c>
      <c r="C3" s="111" t="s">
        <v>3543</v>
      </c>
      <c r="D3" s="111" t="s">
        <v>3181</v>
      </c>
      <c r="E3" s="111" t="s">
        <v>3537</v>
      </c>
      <c r="F3" s="111" t="s">
        <v>3544</v>
      </c>
      <c r="G3" s="111" t="s">
        <v>3545</v>
      </c>
    </row>
    <row r="4" spans="1:7" x14ac:dyDescent="0.3">
      <c r="A4" s="111" t="s">
        <v>3546</v>
      </c>
      <c r="B4" s="111" t="s">
        <v>3547</v>
      </c>
      <c r="C4" s="111" t="s">
        <v>3548</v>
      </c>
      <c r="D4" s="111" t="s">
        <v>3181</v>
      </c>
      <c r="E4" s="111" t="s">
        <v>3537</v>
      </c>
      <c r="F4" s="111" t="s">
        <v>3549</v>
      </c>
      <c r="G4" s="111" t="s">
        <v>3550</v>
      </c>
    </row>
    <row r="5" spans="1:7" x14ac:dyDescent="0.3">
      <c r="A5" s="111" t="s">
        <v>3306</v>
      </c>
      <c r="B5" s="111" t="s">
        <v>3551</v>
      </c>
      <c r="C5" s="111" t="s">
        <v>3552</v>
      </c>
      <c r="D5" s="111" t="s">
        <v>1210</v>
      </c>
      <c r="E5" s="111" t="s">
        <v>3538</v>
      </c>
      <c r="F5" s="111" t="s">
        <v>3553</v>
      </c>
      <c r="G5" s="111" t="s">
        <v>3554</v>
      </c>
    </row>
    <row r="6" spans="1:7" x14ac:dyDescent="0.3">
      <c r="A6" s="111" t="s">
        <v>3555</v>
      </c>
      <c r="B6" s="111" t="s">
        <v>3556</v>
      </c>
      <c r="C6" s="111" t="s">
        <v>3557</v>
      </c>
      <c r="D6" s="111" t="s">
        <v>3181</v>
      </c>
      <c r="E6" s="111" t="s">
        <v>3537</v>
      </c>
      <c r="F6" s="111" t="s">
        <v>3549</v>
      </c>
      <c r="G6" s="111" t="s">
        <v>3558</v>
      </c>
    </row>
    <row r="7" spans="1:7" x14ac:dyDescent="0.3">
      <c r="A7" s="111" t="s">
        <v>3559</v>
      </c>
      <c r="B7" s="111" t="s">
        <v>3560</v>
      </c>
      <c r="C7" s="111" t="s">
        <v>3561</v>
      </c>
      <c r="D7" s="111" t="s">
        <v>3181</v>
      </c>
      <c r="E7" s="111" t="s">
        <v>3537</v>
      </c>
      <c r="F7" s="111" t="s">
        <v>3562</v>
      </c>
      <c r="G7" s="111" t="s">
        <v>3563</v>
      </c>
    </row>
    <row r="8" spans="1:7" x14ac:dyDescent="0.3">
      <c r="A8" s="111" t="s">
        <v>3559</v>
      </c>
      <c r="B8" s="111" t="s">
        <v>3560</v>
      </c>
      <c r="C8" s="111" t="s">
        <v>3561</v>
      </c>
      <c r="D8" s="111" t="s">
        <v>3181</v>
      </c>
      <c r="E8" s="111" t="s">
        <v>3537</v>
      </c>
      <c r="F8" s="111" t="s">
        <v>3564</v>
      </c>
      <c r="G8" s="111" t="s">
        <v>3563</v>
      </c>
    </row>
    <row r="9" spans="1:7" x14ac:dyDescent="0.3">
      <c r="A9" s="111" t="s">
        <v>3565</v>
      </c>
      <c r="B9" s="111" t="s">
        <v>3566</v>
      </c>
      <c r="C9" s="111" t="s">
        <v>3567</v>
      </c>
      <c r="D9" s="111" t="s">
        <v>3181</v>
      </c>
      <c r="E9" s="111" t="s">
        <v>3537</v>
      </c>
      <c r="F9" s="111" t="s">
        <v>3549</v>
      </c>
      <c r="G9" s="111" t="s">
        <v>3568</v>
      </c>
    </row>
    <row r="10" spans="1:7" x14ac:dyDescent="0.3">
      <c r="A10" s="111" t="s">
        <v>3569</v>
      </c>
      <c r="B10" s="111" t="s">
        <v>3570</v>
      </c>
      <c r="C10" s="111" t="s">
        <v>3571</v>
      </c>
      <c r="D10" s="111" t="s">
        <v>3181</v>
      </c>
      <c r="E10" s="111" t="s">
        <v>3537</v>
      </c>
      <c r="F10" s="111" t="s">
        <v>3549</v>
      </c>
      <c r="G10" s="111" t="s">
        <v>3572</v>
      </c>
    </row>
    <row r="11" spans="1:7" x14ac:dyDescent="0.3">
      <c r="A11" s="111" t="s">
        <v>3573</v>
      </c>
      <c r="B11" s="111" t="s">
        <v>3574</v>
      </c>
      <c r="C11" s="111" t="s">
        <v>3575</v>
      </c>
      <c r="D11" s="111" t="s">
        <v>3181</v>
      </c>
      <c r="E11" s="111" t="s">
        <v>3537</v>
      </c>
      <c r="F11" s="111" t="s">
        <v>3549</v>
      </c>
      <c r="G11" s="111" t="s">
        <v>3576</v>
      </c>
    </row>
    <row r="12" spans="1:7" x14ac:dyDescent="0.3">
      <c r="A12" s="111" t="s">
        <v>3577</v>
      </c>
      <c r="B12" s="111" t="s">
        <v>3578</v>
      </c>
      <c r="C12" s="111" t="s">
        <v>3579</v>
      </c>
      <c r="D12" s="111" t="s">
        <v>3181</v>
      </c>
      <c r="E12" s="111" t="s">
        <v>3537</v>
      </c>
      <c r="F12" s="111" t="s">
        <v>3549</v>
      </c>
      <c r="G12" s="111" t="s">
        <v>3580</v>
      </c>
    </row>
    <row r="13" spans="1:7" x14ac:dyDescent="0.3">
      <c r="A13" s="111" t="s">
        <v>3581</v>
      </c>
      <c r="B13" s="111" t="s">
        <v>3582</v>
      </c>
      <c r="C13" s="111" t="s">
        <v>3583</v>
      </c>
      <c r="D13" s="111" t="s">
        <v>1210</v>
      </c>
      <c r="E13" s="111" t="s">
        <v>3584</v>
      </c>
      <c r="F13" s="111" t="s">
        <v>3585</v>
      </c>
      <c r="G13" s="111" t="s">
        <v>3586</v>
      </c>
    </row>
    <row r="14" spans="1:7" x14ac:dyDescent="0.3">
      <c r="A14" s="111" t="s">
        <v>3305</v>
      </c>
      <c r="B14" s="111" t="s">
        <v>3587</v>
      </c>
      <c r="C14" s="111" t="s">
        <v>3588</v>
      </c>
      <c r="D14" s="111" t="s">
        <v>1210</v>
      </c>
      <c r="E14" s="111" t="s">
        <v>3537</v>
      </c>
      <c r="F14" s="111" t="s">
        <v>3589</v>
      </c>
      <c r="G14" s="111" t="s">
        <v>3590</v>
      </c>
    </row>
    <row r="15" spans="1:7" x14ac:dyDescent="0.3">
      <c r="A15" s="111" t="s">
        <v>3591</v>
      </c>
      <c r="B15" s="111" t="s">
        <v>3592</v>
      </c>
      <c r="C15" s="111" t="s">
        <v>3593</v>
      </c>
      <c r="D15" s="111" t="s">
        <v>1210</v>
      </c>
      <c r="E15" s="111" t="s">
        <v>3584</v>
      </c>
      <c r="F15" s="111" t="s">
        <v>3585</v>
      </c>
      <c r="G15" s="111" t="s">
        <v>3594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2026-04-29T04:06:12Z</dcterms:modified>
</cp:coreProperties>
</file>