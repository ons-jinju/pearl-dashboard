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A9DDEF8B-347B-4B50-8D3F-BCE0033EDAA5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RMS_통합RCU미복구!$A$1:$AE$11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U8" i="9" l="1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<sst xmlns="http://schemas.openxmlformats.org/spreadsheetml/2006/main" count="39417" uniqueCount="3663">
  <si>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</si>
  <si>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</si>
  <si>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</si>
  <si>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</si>
  <si>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</si>
  <si>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</si>
  <si>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</si>
  <si>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</si>
  <si>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</si>
  <si>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</si>
  <si>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</si>
  <si>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</si>
  <si>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</si>
  <si>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</si>
  <si>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</si>
  <si>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</si>
  <si>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</si>
  <si>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</si>
  <si>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</si>
  <si>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</si>
  <si>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</si>
  <si>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</si>
  <si>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</si>
  <si>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</si>
  <si>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</si>
  <si>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</si>
  <si>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</si>
  <si>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</si>
  <si>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</si>
  <si>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</si>
  <si>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</si>
  <si>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</si>
  <si>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</si>
  <si>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</si>
  <si>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</si>
  <si>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</si>
  <si>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</si>
  <si>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</si>
  <si>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</si>
  <si>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</si>
  <si>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</si>
  <si>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</si>
  <si>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</si>
  <si>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</si>
  <si>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</si>
  <si>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</si>
  <si>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</si>
  <si>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</si>
  <si>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</si>
  <si>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</si>
  <si>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</si>
  <si>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</si>
  <si>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</si>
  <si>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</si>
  <si>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</si>
  <si>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</si>
  <si>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</si>
  <si>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</si>
  <si>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</si>
  <si>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</si>
  <si>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</si>
  <si>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</si>
  <si>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</si>
  <si>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</si>
  <si>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</si>
  <si>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</si>
  <si>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</si>
  <si>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</si>
  <si>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</si>
  <si>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</si>
  <si>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</si>
  <si>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</si>
  <si>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</si>
  <si>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</si>
  <si>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</si>
  <si>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</si>
  <si>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</si>
  <si>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</si>
  <si>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</si>
  <si>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</si>
  <si>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</si>
  <si>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</si>
  <si>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</si>
  <si>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</si>
  <si>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</si>
  <si>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</si>
  <si>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</si>
  <si>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</si>
  <si>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</si>
  <si>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</si>
  <si>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</si>
  <si>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</si>
  <si>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</si>
  <si>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</si>
  <si>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</si>
  <si>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</si>
  <si>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</si>
  <si>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</si>
  <si>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</si>
  <si>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</si>
  <si>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</si>
  <si>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</si>
  <si>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</si>
  <si>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</si>
  <si>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</si>
  <si>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</si>
  <si>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</si>
  <si>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</si>
  <si>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</si>
  <si>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</si>
  <si>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</si>
  <si>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</si>
  <si>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</si>
  <si>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</si>
  <si>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</si>
  <si>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</si>
  <si>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</si>
  <si>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</si>
  <si>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</si>
  <si>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</si>
  <si>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</si>
  <si>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</si>
  <si>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</si>
  <si>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</si>
  <si>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</si>
  <si>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</si>
  <si>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</si>
  <si>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</si>
  <si>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</si>
  <si>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</si>
  <si>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</si>
  <si>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</si>
  <si>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</si>
  <si>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</si>
  <si>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</si>
  <si>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</si>
  <si>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</si>
  <si>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</si>
  <si>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</si>
  <si>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</si>
  <si>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</si>
  <si>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</si>
  <si>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</si>
  <si>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</si>
  <si>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</si>
  <si>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</si>
  <si>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</si>
  <si>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</si>
  <si>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</si>
  <si>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</si>
  <si>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</si>
  <si>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</si>
  <si>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</si>
  <si>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</si>
  <si>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</si>
  <si>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</si>
  <si>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</si>
  <si>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</si>
  <si>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</si>
  <si>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</si>
  <si>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</si>
  <si>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</si>
  <si>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</si>
  <si>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</si>
  <si>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</si>
  <si>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</si>
  <si>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</si>
  <si>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</si>
  <si>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</si>
  <si>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</si>
  <si>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</si>
  <si>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</si>
  <si>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</si>
  <si>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</si>
  <si>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</si>
  <si>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</si>
  <si>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</si>
  <si>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</si>
  <si>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</si>
  <si>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</si>
  <si>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</si>
  <si>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</si>
  <si>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</si>
  <si>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</si>
  <si>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</si>
  <si>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</si>
  <si>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</si>
  <si>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</si>
  <si>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</si>
  <si>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</si>
  <si>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</si>
  <si>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</si>
  <si>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</si>
  <si>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</si>
  <si>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</si>
  <si>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</si>
  <si>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</si>
  <si>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</si>
  <si>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</si>
  <si>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</si>
  <si>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</si>
  <si>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</si>
  <si>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</si>
  <si>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</si>
  <si>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</si>
  <si>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</si>
  <si>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</si>
  <si>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</si>
  <si>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</si>
  <si>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</si>
  <si>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</si>
  <si>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</si>
  <si>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</si>
  <si>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</si>
  <si>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</si>
  <si>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</si>
  <si>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</si>
  <si>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</si>
  <si>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</si>
  <si>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</si>
  <si>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</si>
  <si>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</si>
  <si>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</si>
  <si>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</si>
  <si>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</si>
  <si>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</si>
  <si>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</si>
  <si>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</si>
  <si>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</si>
  <si>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</si>
  <si>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</si>
  <si>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</si>
  <si>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</si>
  <si>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</si>
  <si>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</si>
  <si>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</si>
  <si>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</si>
  <si>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</si>
  <si>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</si>
  <si>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</si>
  <si>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</si>
  <si>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</si>
  <si>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</si>
  <si>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</si>
  <si>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</si>
  <si>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</si>
  <si>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</si>
  <si>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</si>
  <si>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</si>
  <si>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</si>
  <si>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</si>
  <si>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</si>
  <si>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</si>
  <si>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</si>
  <si>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</si>
  <si>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</si>
  <si>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</si>
  <si>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</si>
  <si>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</si>
  <si>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</si>
  <si>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</si>
  <si>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</si>
  <si>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</si>
  <si>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</si>
  <si>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</si>
  <si>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</si>
  <si>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</si>
  <si>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</si>
  <si>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</si>
  <si>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</si>
  <si>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</si>
  <si>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</si>
  <si>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</si>
  <si>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</si>
  <si>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</si>
  <si>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</si>
  <si>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</si>
  <si>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</si>
  <si>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</si>
  <si>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</si>
  <si>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</si>
  <si>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</si>
  <si>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</si>
  <si>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</si>
  <si>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</si>
  <si>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</si>
  <si>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</si>
  <si>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</si>
  <si>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</si>
  <si>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</si>
  <si>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</si>
  <si>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</si>
  <si>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</si>
  <si>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</si>
  <si>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</si>
  <si>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</si>
  <si>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</si>
  <si>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</si>
  <si>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</si>
  <si>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</si>
  <si>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</si>
  <si>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</si>
  <si>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</si>
  <si>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</si>
  <si>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</si>
  <si>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</si>
  <si>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</si>
  <si>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</si>
  <si>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</si>
  <si>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</si>
  <si>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</si>
  <si>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</si>
  <si>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</si>
  <si>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</si>
  <si>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</si>
  <si>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</si>
  <si>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</si>
  <si>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</si>
  <si>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</si>
  <si>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</si>
  <si>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</si>
  <si>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</si>
  <si>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</si>
  <si>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</si>
  <si>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</si>
  <si>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</si>
  <si>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</si>
  <si>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</si>
  <si>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</si>
  <si>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</si>
  <si>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</si>
  <si>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</si>
  <si>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</si>
  <si>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</si>
  <si>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</si>
  <si>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</si>
  <si>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</si>
  <si>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</si>
  <si>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</si>
  <si>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</si>
  <si>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</si>
  <si>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</si>
  <si>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</si>
  <si>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</si>
  <si>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</si>
  <si>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</si>
  <si>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</si>
  <si>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</si>
  <si>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</si>
  <si>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</si>
  <si>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</si>
  <si>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</si>
  <si>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</si>
  <si>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</si>
  <si>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</si>
  <si>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</si>
  <si>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</si>
  <si>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</si>
  <si>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</si>
  <si>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</si>
  <si>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</si>
  <si>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</si>
  <si>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</si>
  <si>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</si>
  <si>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</si>
  <si>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</si>
  <si>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</si>
  <si>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</si>
  <si>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</si>
  <si>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</si>
  <si>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</si>
  <si>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</si>
  <si>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</si>
  <si>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</si>
  <si>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</si>
  <si>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</si>
  <si>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</si>
  <si>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</si>
  <si>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</si>
  <si>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</si>
  <si>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</si>
  <si>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</si>
  <si>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</si>
  <si>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</si>
  <si>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</si>
  <si>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</si>
  <si>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</si>
  <si>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</si>
  <si>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</si>
  <si>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</si>
  <si>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</si>
  <si>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</si>
  <si>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</si>
  <si>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</si>
  <si>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</si>
  <si>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</si>
  <si>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</si>
  <si>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</si>
  <si>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</si>
  <si>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</si>
  <si>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</si>
  <si>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</si>
  <si>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</si>
  <si>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</si>
  <si>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</si>
  <si>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</si>
  <si>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</si>
  <si>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</si>
  <si>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</si>
  <si>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</si>
  <si>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</si>
  <si>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</si>
  <si>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</si>
  <si>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</si>
  <si>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</si>
  <si>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</si>
  <si>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</si>
  <si>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</si>
  <si>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</si>
  <si>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</si>
  <si>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</si>
  <si>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</si>
  <si>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</si>
  <si>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</si>
  <si>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</si>
  <si>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</si>
  <si>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</si>
  <si>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</si>
  <si>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</si>
  <si>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</si>
  <si>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</si>
  <si>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</si>
  <si>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</si>
  <si>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</si>
  <si>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</si>
  <si>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</si>
  <si>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</si>
  <si>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</si>
  <si>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</si>
  <si>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</si>
  <si>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</si>
  <si>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</si>
  <si>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</si>
  <si>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</si>
  <si>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</si>
  <si>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</si>
  <si>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</si>
  <si>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</si>
  <si>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</si>
  <si>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</si>
  <si>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</si>
  <si>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</si>
  <si>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</si>
  <si>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</si>
  <si>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</si>
  <si>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</si>
  <si>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</si>
  <si>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</si>
  <si>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</si>
  <si>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</si>
  <si>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</si>
  <si>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</si>
  <si>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</si>
  <si>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</si>
  <si>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</si>
  <si>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</si>
  <si>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</si>
  <si>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</si>
  <si>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</si>
  <si>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</si>
  <si>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</si>
  <si>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</si>
  <si>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</si>
  <si>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</si>
  <si>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</si>
  <si>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</si>
  <si>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</si>
  <si>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</si>
  <si>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</si>
  <si>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</si>
  <si>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</si>
  <si>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</si>
  <si>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</si>
  <si>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</si>
  <si>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</si>
  <si>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</si>
  <si>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</si>
  <si>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</si>
  <si>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</si>
  <si>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</si>
  <si>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</si>
  <si>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</si>
  <si>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</si>
  <si>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</si>
  <si>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</si>
  <si>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</si>
  <si>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</si>
  <si>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</si>
  <si>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</si>
  <si>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</si>
  <si>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</si>
  <si>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</si>
  <si>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</si>
  <si>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</si>
  <si>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</si>
  <si>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</si>
  <si>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</si>
  <si>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</si>
  <si>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</si>
  <si>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</si>
  <si>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</si>
  <si>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</si>
  <si>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</si>
  <si>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</si>
  <si>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</si>
  <si>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</si>
  <si>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</si>
  <si>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</si>
  <si>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</si>
  <si>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</si>
  <si>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</si>
  <si>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</si>
  <si>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</si>
  <si>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</si>
  <si>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</si>
  <si>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</si>
  <si>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</si>
  <si>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</si>
  <si>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</si>
  <si>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</si>
  <si>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</si>
  <si>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</si>
  <si>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</si>
  <si>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</si>
  <si>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</si>
  <si>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</si>
  <si>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</si>
  <si>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</si>
  <si>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</si>
  <si>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</si>
  <si>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</si>
  <si>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</si>
  <si>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</si>
  <si>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</si>
  <si>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</si>
  <si>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</si>
  <si>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</si>
  <si>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</si>
  <si>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</si>
  <si>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</si>
  <si>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</si>
  <si>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</si>
  <si>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</si>
  <si>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</si>
  <si>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</si>
  <si>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</si>
  <si>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</si>
  <si>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</si>
  <si>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</si>
  <si>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</si>
  <si>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</si>
  <si>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</si>
  <si>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</si>
  <si>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</si>
  <si>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</si>
  <si>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</si>
  <si>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</si>
  <si>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</si>
  <si>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</si>
  <si>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</si>
  <si>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</si>
  <si>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</si>
  <si>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</si>
  <si>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</si>
  <si>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</si>
  <si>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</si>
  <si>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</si>
  <si>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</si>
  <si>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</si>
  <si>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</si>
  <si>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</si>
  <si>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</si>
  <si>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</si>
  <si>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</si>
  <si>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</si>
  <si>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</si>
  <si>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</si>
  <si>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</si>
  <si>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</si>
  <si>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</si>
  <si>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</si>
  <si>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</si>
  <si>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</si>
  <si>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</si>
  <si>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</si>
  <si>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</si>
  <si>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</si>
  <si>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</si>
  <si>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</si>
  <si>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</si>
  <si>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</si>
  <si>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</si>
  <si>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</si>
  <si>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</si>
  <si>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</si>
  <si>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</si>
  <si>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</si>
  <si>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</si>
  <si>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</si>
  <si>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</si>
  <si>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</si>
  <si>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</si>
  <si>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</si>
  <si>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</si>
  <si>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</si>
  <si>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</si>
  <si>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</si>
  <si>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</si>
  <si>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</si>
  <si>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</si>
  <si>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</si>
  <si>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</si>
  <si>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</si>
  <si>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</si>
  <si>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</si>
  <si>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</si>
  <si>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</si>
  <si>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</si>
  <si>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</si>
  <si>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</si>
  <si>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</si>
  <si>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</si>
  <si>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</si>
  <si>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</si>
  <si>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</si>
  <si>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</si>
  <si>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</si>
  <si>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</si>
  <si>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</si>
  <si>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</si>
  <si>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</si>
  <si>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</si>
  <si>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</si>
  <si>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</si>
  <si>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</si>
  <si>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</si>
  <si>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</si>
  <si>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</si>
  <si>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</si>
  <si>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</si>
  <si>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</si>
  <si>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</si>
  <si>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</si>
  <si>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</si>
  <si>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</si>
  <si>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</si>
  <si>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</si>
  <si>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</si>
  <si>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</si>
  <si>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</si>
  <si>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</si>
  <si>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</si>
  <si>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</si>
  <si>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</si>
  <si>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</si>
  <si>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</si>
  <si>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</si>
  <si>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</si>
  <si>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</si>
  <si>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</si>
  <si>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</si>
  <si>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</si>
  <si>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</si>
  <si>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</si>
  <si>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</si>
  <si>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</si>
  <si>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</si>
  <si>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</si>
  <si>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</si>
  <si>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</si>
  <si>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</si>
  <si>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</si>
  <si>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</si>
  <si>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</si>
  <si>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</si>
  <si>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</si>
  <si>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</si>
  <si>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</si>
  <si>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</si>
  <si>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</si>
  <si>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</si>
  <si>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</si>
  <si>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</si>
  <si>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</si>
  <si>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</si>
  <si>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</si>
  <si>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</si>
  <si>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</si>
  <si>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</si>
  <si>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</si>
  <si>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</si>
  <si>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</si>
  <si>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</si>
  <si>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</si>
  <si>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</si>
  <si>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</si>
  <si>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</si>
  <si>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</si>
  <si>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</si>
  <si>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</si>
  <si>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</si>
  <si>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</si>
  <si>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</si>
  <si>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</si>
  <si>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</si>
  <si>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</si>
  <si>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</si>
  <si>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</si>
  <si>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</si>
  <si>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</si>
  <si>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</si>
  <si>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</si>
  <si>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</si>
  <si>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</si>
  <si>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</si>
  <si>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</si>
  <si>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</si>
  <si>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</si>
  <si>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</si>
  <si>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</si>
  <si>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</si>
  <si>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</si>
  <si>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</si>
  <si>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</si>
  <si>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</si>
  <si>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</si>
  <si>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</si>
  <si>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</si>
  <si>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</si>
  <si>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</si>
  <si>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</si>
  <si>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</si>
  <si>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</si>
  <si>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</si>
  <si>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</si>
  <si>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</si>
  <si>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</si>
  <si>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</si>
  <si>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</si>
  <si>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</si>
  <si>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</si>
  <si>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</si>
  <si>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</si>
  <si>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</si>
  <si>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</si>
  <si>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</si>
  <si>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</si>
  <si>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</si>
  <si>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</si>
  <si>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</si>
  <si>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</si>
  <si>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</si>
  <si>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</si>
  <si>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</si>
  <si>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</si>
  <si>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</si>
  <si>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</si>
  <si>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</si>
  <si>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</si>
  <si>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</si>
  <si>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</si>
  <si>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</si>
  <si>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</si>
  <si>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</si>
  <si>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</si>
  <si>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</si>
  <si>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</si>
  <si>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</si>
  <si>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</si>
  <si>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</si>
  <si>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</si>
  <si>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</si>
  <si>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</si>
  <si>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</si>
  <si>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</si>
  <si>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</si>
  <si>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</si>
  <si>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</si>
  <si>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</si>
  <si>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</si>
  <si>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</si>
  <si>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</si>
  <si>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</si>
  <si>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</si>
  <si>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</si>
  <si>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</si>
  <si>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</si>
  <si>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</si>
  <si>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</si>
  <si>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</si>
  <si>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</si>
  <si>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</si>
  <si>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</si>
  <si>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</si>
  <si>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</si>
  <si>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</si>
  <si>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</si>
  <si>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</si>
  <si>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</si>
  <si>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</si>
  <si>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</si>
  <si>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</si>
  <si>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</si>
  <si>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</si>
  <si>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</si>
  <si>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</si>
  <si>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</si>
  <si>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</si>
  <si>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</si>
  <si>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</si>
  <si>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</si>
  <si>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</si>
  <si>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</si>
  <si>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</si>
  <si>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</si>
  <si>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</si>
  <si>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</si>
  <si>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</si>
  <si>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</si>
  <si>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</si>
  <si>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</si>
  <si>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</si>
  <si>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</si>
  <si>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</si>
  <si>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</si>
  <si>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</si>
  <si>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</si>
  <si>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</si>
  <si>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</si>
  <si>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</si>
  <si>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</si>
  <si>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</si>
  <si>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</si>
  <si>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</si>
  <si>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</si>
  <si>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</si>
  <si>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</si>
  <si>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</si>
  <si>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</si>
  <si>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</si>
  <si>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</si>
  <si>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</si>
  <si>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</si>
  <si>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</si>
  <si>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</si>
  <si>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</si>
  <si>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</si>
  <si>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</si>
  <si>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</si>
  <si>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</si>
  <si>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</si>
  <si>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</si>
  <si>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</si>
  <si>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</si>
  <si>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</si>
  <si>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</si>
  <si>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</si>
  <si>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</si>
  <si>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</si>
  <si>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</si>
  <si>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</si>
  <si>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</si>
  <si>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</si>
  <si>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</si>
  <si>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</si>
  <si>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</si>
  <si>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</si>
  <si>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</si>
  <si>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</si>
  <si>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</si>
  <si>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</si>
  <si>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</si>
  <si>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</si>
  <si>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</si>
  <si>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</si>
  <si>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</si>
  <si>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</si>
  <si>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</si>
  <si>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</si>
  <si>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</si>
  <si>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</si>
  <si>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</si>
  <si>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</si>
  <si>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</si>
  <si>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</si>
  <si>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</si>
  <si>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</si>
  <si>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</si>
  <si>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</si>
  <si>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</si>
  <si>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</si>
  <si>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</si>
  <si>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</si>
  <si>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</si>
  <si>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</si>
  <si>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</si>
  <si>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</si>
  <si>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</si>
  <si>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</si>
  <si>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</si>
  <si>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</si>
  <si>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</si>
  <si>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</si>
  <si>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</si>
  <si>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</si>
  <si>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</si>
  <si>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</si>
  <si>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</si>
  <si>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</si>
  <si>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</si>
  <si>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</si>
  <si>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</si>
  <si>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</si>
  <si>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</si>
  <si>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</si>
  <si>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</si>
  <si>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</si>
  <si>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</si>
  <si>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</si>
  <si>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</si>
  <si>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</si>
  <si>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</si>
  <si>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</si>
  <si>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</si>
  <si>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</si>
  <si>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</si>
  <si>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</si>
  <si>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</si>
  <si>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</si>
  <si>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</si>
  <si>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</si>
  <si>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</si>
  <si>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</si>
  <si>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</si>
  <si>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</si>
  <si>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</si>
  <si>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</si>
  <si>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</si>
  <si>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</si>
  <si>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</si>
  <si>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</si>
  <si>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</si>
  <si>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</si>
  <si>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</si>
  <si>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</si>
  <si>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</si>
  <si>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</si>
  <si>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</si>
  <si>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</si>
  <si>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</si>
  <si>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</si>
  <si>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</si>
  <si>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</si>
  <si>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</si>
  <si>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</si>
  <si>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</si>
  <si>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</si>
  <si>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</si>
  <si>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</si>
  <si>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</si>
  <si>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</si>
  <si>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</si>
  <si>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</si>
  <si>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</si>
  <si>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</si>
  <si>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</si>
  <si>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</si>
  <si>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</si>
  <si>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</si>
  <si>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</si>
  <si>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</si>
  <si>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</si>
  <si>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</si>
  <si>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</si>
  <si>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</si>
  <si>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</si>
  <si>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</si>
  <si>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</si>
  <si>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</si>
  <si>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</si>
  <si>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</si>
  <si>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</si>
  <si>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</si>
  <si>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</si>
  <si>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</si>
  <si>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</si>
  <si>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</si>
  <si>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</si>
  <si>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</si>
  <si>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</si>
  <si>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</si>
  <si>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</si>
  <si>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</si>
  <si>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</si>
  <si>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</si>
  <si>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</si>
  <si>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</si>
  <si>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</si>
  <si>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</si>
  <si>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</si>
  <si>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</si>
  <si>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</si>
  <si>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</si>
  <si>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</si>
  <si>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</si>
  <si>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</si>
  <si>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</si>
  <si>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</si>
  <si>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</si>
  <si>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</si>
  <si>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</si>
  <si>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</si>
  <si>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</si>
  <si>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</si>
  <si>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</si>
  <si>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</si>
  <si>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</si>
  <si>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</si>
  <si>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</si>
  <si>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</si>
  <si>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</si>
  <si>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</si>
  <si>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</si>
  <si>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</si>
  <si>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</si>
  <si>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</si>
  <si>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</si>
  <si>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</si>
  <si>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</si>
  <si>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</si>
  <si>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</si>
  <si>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</si>
  <si>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</si>
  <si>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</si>
  <si>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</si>
  <si>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</si>
  <si>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</si>
  <si>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</si>
  <si>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</si>
  <si>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</si>
  <si>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</si>
  <si>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</si>
  <si>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</si>
  <si>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</si>
  <si>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</si>
  <si>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</si>
  <si>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</si>
  <si>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</si>
  <si>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</si>
  <si>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</si>
  <si>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</si>
  <si>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</si>
  <si>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</si>
  <si>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</si>
  <si>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</si>
  <si>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</si>
  <si>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</si>
  <si>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</si>
  <si>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</si>
  <si>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</si>
  <si>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</si>
  <si>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</si>
  <si>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</si>
  <si>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</si>
  <si>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</si>
  <si>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</si>
  <si>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</si>
  <si>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</si>
  <si>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</si>
  <si>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</si>
  <si>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</si>
  <si>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</si>
  <si>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</si>
  <si>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</si>
  <si>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</si>
  <si>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</si>
  <si>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</si>
  <si>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</si>
  <si>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</si>
  <si>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</si>
  <si>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</si>
  <si>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</si>
  <si>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</si>
  <si>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</si>
  <si>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</si>
  <si>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</si>
  <si>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</si>
  <si>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</si>
  <si>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</si>
  <si>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</si>
  <si>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</si>
  <si>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</si>
  <si>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</si>
  <si>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</si>
  <si>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</si>
  <si>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</si>
  <si>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</si>
  <si>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</si>
  <si>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</si>
  <si>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</si>
  <si>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</si>
  <si>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</si>
  <si>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</si>
  <si>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</si>
  <si>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</si>
  <si>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</si>
  <si>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</si>
  <si>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</si>
  <si>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</si>
  <si>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</si>
  <si>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</si>
  <si>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</si>
  <si>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</si>
  <si>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</si>
  <si>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</si>
  <si>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</si>
  <si>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</si>
  <si>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</si>
  <si>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</si>
  <si>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</si>
  <si>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</si>
  <si>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</si>
  <si>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</si>
  <si>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</si>
  <si>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</si>
  <si>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</si>
  <si>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</si>
  <si>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</si>
  <si>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</si>
  <si>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</si>
  <si>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</si>
  <si>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</si>
  <si>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</si>
  <si>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</si>
  <si>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</si>
  <si>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</si>
  <si>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</si>
  <si>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</si>
  <si>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</si>
  <si>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</si>
  <si>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</si>
  <si>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</si>
  <si>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</si>
  <si>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</si>
  <si>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</si>
  <si>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</si>
  <si>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</si>
  <si>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</si>
  <si>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</si>
  <si>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</si>
  <si>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</si>
  <si>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</si>
  <si>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</si>
  <si>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</si>
  <si>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</si>
  <si>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</si>
  <si>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</si>
  <si>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</si>
  <si>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</si>
  <si>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</si>
  <si>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</si>
  <si>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</si>
  <si>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</si>
  <si>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</si>
  <si>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</si>
  <si>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</si>
  <si>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</si>
  <si>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</si>
  <si>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</si>
  <si>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</si>
  <si>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</si>
  <si>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</si>
  <si>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</si>
  <si>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</si>
  <si>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</si>
  <si>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</si>
  <si>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</si>
  <si>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</si>
  <si>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</si>
  <si>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</si>
  <si>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</si>
  <si>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</si>
  <si>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</si>
  <si>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</si>
  <si>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</si>
  <si>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</si>
  <si>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</si>
  <si>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</si>
  <si>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</si>
  <si>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</si>
  <si>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</si>
  <si>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</si>
  <si>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</si>
  <si>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</si>
  <si>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</si>
  <si>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</si>
  <si>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</si>
  <si>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</si>
  <si>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</si>
  <si>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</si>
  <si>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</si>
  <si>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</si>
  <si>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</si>
  <si>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</si>
  <si>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</si>
  <si>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</si>
  <si>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</si>
  <si>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</si>
  <si>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</si>
  <si>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</si>
  <si>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</si>
  <si>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</si>
  <si>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</si>
  <si>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</si>
  <si>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</si>
  <si>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</si>
  <si>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</si>
  <si>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</si>
  <si>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</si>
  <si>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</si>
  <si>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</si>
  <si>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</si>
  <si>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</si>
  <si>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</si>
  <si>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</si>
  <si>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</si>
  <si>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</si>
  <si>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</si>
  <si>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</si>
  <si>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</si>
  <si>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</si>
  <si>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</si>
  <si>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</si>
  <si>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</si>
  <si>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</si>
  <si>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</si>
  <si>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</si>
  <si>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</si>
  <si>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</si>
  <si>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</si>
  <si>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</si>
  <si>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</si>
  <si>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</si>
  <si>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</si>
  <si>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</si>
  <si>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</si>
  <si>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</si>
  <si>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</si>
  <si>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</si>
  <si>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</si>
  <si>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</si>
  <si>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</si>
  <si>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</si>
  <si>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</si>
  <si>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</si>
  <si>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</si>
  <si>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</si>
  <si>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</si>
  <si>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</si>
  <si>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</si>
  <si>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</si>
  <si>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</si>
  <si>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</si>
  <si>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</si>
  <si>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</si>
  <si>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</si>
  <si>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</si>
  <si>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</si>
  <si>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</si>
  <si>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</si>
  <si>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</si>
  <si>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</si>
  <si>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</si>
  <si>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</si>
  <si>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</si>
  <si>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</si>
  <si>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</si>
  <si>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</si>
  <si>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</si>
  <si>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</si>
  <si>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</si>
  <si>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</si>
  <si>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</si>
  <si>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</si>
  <si>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</si>
  <si>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</si>
  <si>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</si>
  <si>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</si>
  <si>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</si>
  <si>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</si>
  <si>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</si>
  <si>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</si>
  <si>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</si>
  <si>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</si>
  <si>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</si>
  <si>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</si>
  <si>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</si>
  <si>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</si>
  <si>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</si>
  <si>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</si>
  <si>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</si>
  <si>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</si>
  <si>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</si>
  <si>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</si>
  <si>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</si>
  <si>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</si>
  <si>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</si>
  <si>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</si>
  <si>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</si>
  <si>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</si>
  <si>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</si>
  <si>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</si>
  <si>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</si>
  <si>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</si>
  <si>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</si>
  <si>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</si>
  <si>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</si>
  <si>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</si>
  <si>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</si>
  <si>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</si>
  <si>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</si>
  <si>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</si>
  <si>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</si>
  <si>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</si>
  <si>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</si>
  <si>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</si>
  <si>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</si>
  <si>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</si>
  <si>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</si>
  <si>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</si>
  <si>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</si>
  <si>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</si>
  <si>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</si>
  <si>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</si>
  <si>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</si>
  <si>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</si>
  <si>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</si>
  <si>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</si>
  <si>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</si>
  <si>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</si>
  <si>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</si>
  <si>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</si>
  <si>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</si>
  <si>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</si>
  <si>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</si>
  <si>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</si>
  <si>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</si>
  <si>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</si>
  <si>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</si>
  <si>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</si>
  <si>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</si>
  <si>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</si>
  <si>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</si>
  <si>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</si>
  <si>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</si>
  <si>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</si>
  <si>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</si>
  <si>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</si>
  <si>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</si>
  <si>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</si>
  <si>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</si>
  <si>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</si>
  <si>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</si>
  <si>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</si>
  <si>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</si>
  <si>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</si>
  <si>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</si>
  <si>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</si>
  <si>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</si>
  <si>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</si>
  <si>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</si>
  <si>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</si>
  <si>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</si>
  <si>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</si>
  <si>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</si>
  <si>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</si>
  <si>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</si>
  <si>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</si>
  <si>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</si>
  <si>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</si>
  <si>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</si>
  <si>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</si>
  <si>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</si>
  <si>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</si>
  <si>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</si>
  <si>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</si>
  <si>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</si>
  <si>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</si>
  <si>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</si>
  <si>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</si>
  <si>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</si>
  <si>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</si>
  <si>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</si>
  <si>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</si>
  <si>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</si>
  <si>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</si>
  <si>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</si>
  <si>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</si>
  <si>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</si>
  <si>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</si>
  <si>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</si>
  <si>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</si>
  <si>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</si>
  <si>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</si>
  <si>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</si>
  <si>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</si>
  <si>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</si>
  <si>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</si>
  <si>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</si>
  <si>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</si>
  <si>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</si>
  <si>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</si>
  <si>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</si>
  <si>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</si>
  <si>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</si>
  <si>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</si>
  <si>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</si>
  <si>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</si>
  <si>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</si>
  <si>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</si>
  <si>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</si>
  <si>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</si>
  <si>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</si>
  <si>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</si>
  <si>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</si>
  <si>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</si>
  <si>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</si>
  <si>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</si>
  <si>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</si>
  <si>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</si>
  <si>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</si>
  <si>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</si>
  <si>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</si>
  <si>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</si>
  <si>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</si>
  <si>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</si>
  <si>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</si>
  <si>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</si>
  <si>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</si>
  <si>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</si>
  <si>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</si>
  <si>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</si>
  <si>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</si>
  <si>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</si>
  <si>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</si>
  <si>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</si>
  <si>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</si>
  <si>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</si>
  <si>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</si>
  <si>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</si>
  <si>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</si>
  <si>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</si>
  <si>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</si>
  <si>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</si>
  <si>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</si>
  <si>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</si>
  <si>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</si>
  <si>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</si>
  <si>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</si>
  <si>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</si>
  <si>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</si>
  <si>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</si>
  <si>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</si>
  <si>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</si>
  <si>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</si>
  <si>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</si>
  <si>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</si>
  <si>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</si>
  <si>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</si>
  <si>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</si>
  <si>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</si>
  <si>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</si>
  <si>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</si>
  <si>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</si>
  <si>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</si>
  <si>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</si>
  <si>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</si>
  <si>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</si>
  <si>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</si>
  <si>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</si>
  <si>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</si>
  <si>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</si>
  <si>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</si>
  <si>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</si>
  <si>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</si>
  <si>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</si>
  <si>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</si>
  <si>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</si>
  <si>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</si>
  <si>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</si>
  <si>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</si>
  <si>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</si>
  <si>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</si>
  <si>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</si>
  <si>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</si>
  <si>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</si>
  <si>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</si>
  <si>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</si>
  <si>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</si>
  <si>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</si>
  <si>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</si>
  <si>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</si>
  <si>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</si>
  <si>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</si>
  <si>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</si>
  <si>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</si>
  <si>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</si>
  <si>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</si>
  <si>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</si>
  <si>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</si>
  <si>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</si>
  <si>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</si>
  <si>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</si>
  <si>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</si>
  <si>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</si>
  <si>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</si>
  <si>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</si>
  <si>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</si>
  <si>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</si>
  <si>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</si>
  <si>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</si>
  <si>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</si>
  <si>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</si>
  <si>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</si>
  <si>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</si>
  <si>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</si>
  <si>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</si>
  <si>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</si>
  <si>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</si>
  <si>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</si>
  <si>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</si>
  <si>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</si>
  <si>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</si>
  <si>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</si>
  <si>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</si>
  <si>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</si>
  <si>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</si>
  <si>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</si>
  <si>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</si>
  <si>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</si>
  <si>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</si>
  <si>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</si>
  <si>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</si>
  <si>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</si>
  <si>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</si>
  <si>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</si>
  <si>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</si>
  <si>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</si>
  <si>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</si>
  <si>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</si>
  <si>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</si>
  <si>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</si>
  <si>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</si>
  <si>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</si>
  <si>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</si>
  <si>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</si>
  <si>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</si>
  <si>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</si>
  <si>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</si>
  <si>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</si>
  <si>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</si>
  <si>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</si>
  <si>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</si>
  <si>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</si>
  <si>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</si>
  <si>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</si>
  <si>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</si>
  <si>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</si>
  <si>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</si>
  <si>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</si>
  <si>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</si>
  <si>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</si>
  <si>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</si>
  <si>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</si>
  <si>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</si>
  <si>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</si>
  <si>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</si>
  <si>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</si>
  <si>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</si>
  <si>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</si>
  <si>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</si>
  <si>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</si>
  <si>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</si>
  <si>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</si>
  <si>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</si>
  <si>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</si>
  <si>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</si>
  <si>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</si>
  <si>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</si>
  <si>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</si>
  <si>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</si>
  <si>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</si>
  <si>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</si>
  <si>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</si>
  <si>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</si>
  <si>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</si>
  <si>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</si>
  <si>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</si>
  <si>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</si>
  <si>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</si>
  <si>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</si>
  <si>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</si>
  <si>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</si>
  <si>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</si>
  <si>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</si>
  <si>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</si>
  <si>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</si>
  <si>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</si>
  <si>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</si>
  <si>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</si>
  <si>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</si>
  <si>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</si>
  <si>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</si>
  <si>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</si>
  <si>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</si>
  <si>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</si>
  <si>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</si>
  <si>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</si>
  <si>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</si>
  <si>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</si>
  <si>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</si>
  <si>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</si>
  <si>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</si>
  <si>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</si>
  <si>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</si>
  <si>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</si>
  <si>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</si>
  <si>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</si>
  <si>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</si>
  <si>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</si>
  <si>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</si>
  <si>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</si>
  <si>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</si>
  <si>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</si>
  <si>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</si>
  <si>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</si>
  <si>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</si>
  <si>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</si>
  <si>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</si>
  <si>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</si>
  <si>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</si>
  <si>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</si>
  <si>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</si>
  <si>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</si>
  <si>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</si>
  <si>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</si>
  <si>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</si>
  <si>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</si>
  <si>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</si>
  <si>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</si>
  <si>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</si>
  <si>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</si>
  <si>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</si>
  <si>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</si>
  <si>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</si>
  <si>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</si>
  <si>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</si>
  <si>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</si>
  <si>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</si>
  <si>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</si>
  <si>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</si>
  <si>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</si>
  <si>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</si>
  <si>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</si>
  <si>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</si>
  <si>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</si>
  <si>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</si>
  <si>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</si>
  <si>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</si>
  <si>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</si>
  <si>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</si>
  <si>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</si>
  <si>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</si>
  <si>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</si>
  <si>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</si>
  <si>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</si>
  <si>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</si>
  <si>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</si>
  <si>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</si>
  <si>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</si>
  <si>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</si>
  <si>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</si>
  <si>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</si>
  <si>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</si>
  <si>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</si>
  <si>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</si>
  <si>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</si>
  <si>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</si>
  <si>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</si>
  <si>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</si>
  <si>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</si>
  <si>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</si>
  <si>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</si>
  <si>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</si>
  <si>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</si>
  <si>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</si>
  <si>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</si>
  <si>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</si>
  <si>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</si>
  <si>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</si>
  <si>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</si>
  <si>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</si>
  <si>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</si>
  <si>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</si>
  <si>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</si>
  <si>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</si>
  <si>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</si>
  <si>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</si>
  <si>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</si>
  <si>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</si>
  <si>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</si>
  <si>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</si>
  <si>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</si>
  <si>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</si>
  <si>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</si>
  <si>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</si>
  <si>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</si>
  <si>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</si>
  <si>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</si>
  <si>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</si>
  <si>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</si>
  <si>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</si>
  <si>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</si>
  <si>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</si>
  <si>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</si>
  <si>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</si>
  <si>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</si>
  <si>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</si>
  <si>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</si>
  <si>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</si>
  <si>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</si>
  <si>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</si>
  <si>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</si>
  <si>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</si>
  <si>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</si>
  <si>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</si>
  <si>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</si>
  <si>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</si>
  <si>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</si>
  <si>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</si>
  <si>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</si>
  <si>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</si>
  <si>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</si>
  <si>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</si>
  <si>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</si>
  <si>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</si>
  <si>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</si>
  <si>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</si>
  <si>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</si>
  <si>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</si>
  <si>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</si>
  <si>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</si>
  <si>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</si>
  <si>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</si>
  <si>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</si>
  <si>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</si>
  <si>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</si>
  <si>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</si>
  <si>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</si>
  <si>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</si>
  <si>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</si>
  <si>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</si>
  <si>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</si>
  <si>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</si>
  <si>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</si>
  <si>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</si>
  <si>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</si>
  <si>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</si>
  <si>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</si>
  <si>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</si>
  <si>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</si>
  <si>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</si>
  <si>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</si>
  <si>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</si>
  <si>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</si>
  <si>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</si>
  <si>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</si>
  <si>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</si>
  <si>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</si>
  <si>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</si>
  <si>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</si>
  <si>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</si>
  <si>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</si>
  <si>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</si>
  <si>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</si>
  <si>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</si>
  <si>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</si>
  <si>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</si>
  <si>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</si>
  <si>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</si>
  <si>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</si>
  <si>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</si>
  <si>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</si>
  <si>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</si>
  <si>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</si>
  <si>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</si>
  <si>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</si>
  <si>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</si>
  <si>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</si>
  <si>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</si>
  <si>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</si>
  <si>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</si>
  <si>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</si>
  <si>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</si>
  <si>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</si>
  <si>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</si>
  <si>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</si>
  <si>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</si>
  <si>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</si>
  <si>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</si>
  <si>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</si>
  <si>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</si>
  <si>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</si>
  <si>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</si>
  <si>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</si>
  <si>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</si>
  <si>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</si>
  <si>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</si>
  <si>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</si>
  <si>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</si>
  <si>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</si>
  <si>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</si>
  <si>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</si>
  <si>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</si>
  <si>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</si>
  <si>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</si>
  <si>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</si>
  <si>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</si>
  <si>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</si>
  <si>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</si>
  <si>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</si>
  <si>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</si>
  <si>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</si>
  <si>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</si>
  <si>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</si>
  <si>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</si>
  <si>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</si>
  <si>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</si>
  <si>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</si>
  <si>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</si>
  <si>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</si>
  <si>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</si>
  <si>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</si>
  <si>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</si>
  <si>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</si>
  <si>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</si>
  <si>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</si>
  <si>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</si>
  <si>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</si>
  <si>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</si>
  <si>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</si>
  <si>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</si>
  <si>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</si>
  <si>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</si>
  <si>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</si>
  <si>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</si>
  <si>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</si>
  <si>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</si>
  <si>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</si>
  <si>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</si>
  <si>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</si>
  <si>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</si>
  <si>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</si>
  <si>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</si>
  <si>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</si>
  <si>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</si>
  <si>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</si>
  <si>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</si>
  <si>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</si>
  <si>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</si>
  <si>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</si>
  <si>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</si>
  <si>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</si>
  <si>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</si>
  <si>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</si>
  <si>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</si>
  <si>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</si>
  <si>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</si>
  <si>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</si>
  <si>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</si>
  <si>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</si>
  <si>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</si>
  <si>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</si>
  <si>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</si>
  <si>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</si>
  <si>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</si>
  <si>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</si>
  <si>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</si>
  <si>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</si>
  <si>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</si>
  <si>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</si>
  <si>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</si>
  <si>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</si>
  <si>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</si>
  <si>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</si>
  <si>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</si>
  <si>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</si>
  <si>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</si>
  <si>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</si>
  <si>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</si>
  <si>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</si>
  <si>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</si>
  <si>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</si>
  <si>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</si>
  <si>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</si>
  <si>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</si>
  <si>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</si>
  <si>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</si>
  <si>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</si>
  <si>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</si>
  <si>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</si>
  <si>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</si>
  <si>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</si>
  <si>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</si>
  <si>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</si>
  <si>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</si>
  <si>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</si>
  <si>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</si>
  <si>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</si>
  <si>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</si>
  <si>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</si>
  <si>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</si>
  <si>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</si>
  <si>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</si>
  <si>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</si>
  <si>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</si>
  <si>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</si>
  <si>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</si>
  <si>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</si>
  <si>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</si>
  <si>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</si>
  <si>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</si>
  <si>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</si>
  <si>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</si>
  <si>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</si>
  <si>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</si>
  <si>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</si>
  <si>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</si>
  <si>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</si>
  <si>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</si>
  <si>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</si>
  <si>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</si>
  <si>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</si>
  <si>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</si>
  <si>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</si>
  <si>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</si>
  <si>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</si>
  <si>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</si>
  <si>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</si>
  <si>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</si>
  <si>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</si>
  <si>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</si>
  <si>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</si>
  <si>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</si>
  <si>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</si>
  <si>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</si>
  <si>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</si>
  <si>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</si>
  <si>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</si>
  <si>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</si>
  <si>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</si>
  <si>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</si>
  <si>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</si>
  <si>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</si>
  <si>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</si>
  <si>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</si>
  <si>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</si>
  <si>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</si>
  <si>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</si>
  <si>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</si>
  <si>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</si>
  <si>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</si>
  <si>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</si>
  <si>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</si>
  <si>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</si>
  <si>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</si>
  <si>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</si>
  <si>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</si>
  <si>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</si>
  <si>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</si>
  <si>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</si>
  <si>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</si>
  <si>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</si>
  <si>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</si>
  <si>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</si>
  <si>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</si>
  <si>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</si>
  <si>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</si>
  <si>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</si>
  <si>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</si>
  <si>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</si>
  <si>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</si>
  <si>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</si>
  <si>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</si>
  <si>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</si>
  <si>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</si>
  <si>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</si>
  <si>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</si>
  <si>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</si>
  <si>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</si>
  <si>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</si>
  <si>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</si>
  <si>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</si>
  <si>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</si>
  <si>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</si>
  <si>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</si>
  <si>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</si>
  <si>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</si>
  <si>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</si>
  <si>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</si>
  <si>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</si>
  <si>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</si>
  <si>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</si>
  <si>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</si>
  <si>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</si>
  <si>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</si>
  <si>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</si>
  <si>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</si>
  <si>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</si>
  <si>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</si>
  <si>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</si>
  <si>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</si>
  <si>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</si>
  <si>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</si>
  <si>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</si>
  <si>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</si>
  <si>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</si>
  <si>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</si>
  <si>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</si>
  <si>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</si>
  <si>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</si>
  <si>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</si>
  <si>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</si>
  <si>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</si>
  <si>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</si>
  <si>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</si>
  <si>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</si>
  <si>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</si>
  <si>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</si>
  <si>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</si>
  <si>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</si>
  <si>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</si>
  <si>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</si>
  <si>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</si>
  <si>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</si>
  <si>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</si>
  <si>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</si>
  <si>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</si>
  <si>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</si>
  <si>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</si>
  <si>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</si>
  <si>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</si>
  <si>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</si>
  <si>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</si>
  <si>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</si>
  <si>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</si>
  <si>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</si>
  <si>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</si>
  <si>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</si>
  <si>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</si>
  <si>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</si>
  <si>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</si>
  <si>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</si>
  <si>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</si>
  <si>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</si>
  <si>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</si>
  <si>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</si>
  <si>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</si>
  <si>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</si>
  <si>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</si>
  <si>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</si>
  <si>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</si>
  <si>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</si>
  <si>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</si>
  <si>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</si>
  <si>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</si>
  <si>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</si>
  <si>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</si>
  <si>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</si>
  <si>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</si>
  <si>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</si>
  <si>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</si>
  <si>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</si>
  <si>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</si>
  <si>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</si>
  <si>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</si>
  <si>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</si>
  <si>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</si>
  <si>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</si>
  <si>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</si>
  <si>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</si>
  <si>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</si>
  <si>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</si>
  <si>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</si>
  <si>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</si>
  <si>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</si>
  <si>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</si>
  <si>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</si>
  <si>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</si>
  <si>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</si>
  <si>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</si>
  <si>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</si>
  <si>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</si>
  <si>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</si>
  <si>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</si>
  <si>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</si>
  <si>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</si>
  <si>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</si>
  <si>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</si>
  <si>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</si>
  <si>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</si>
  <si>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</si>
  <si>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</si>
  <si>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</si>
  <si>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</si>
  <si>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</si>
  <si>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</si>
  <si>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</si>
  <si>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</si>
  <si>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</si>
  <si>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</si>
  <si>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</si>
  <si>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</si>
  <si>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</si>
  <si>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</si>
  <si>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</si>
  <si>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</si>
  <si>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</si>
  <si>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</si>
  <si>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</si>
  <si>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</si>
  <si>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</si>
  <si>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</si>
  <si>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</si>
  <si>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</si>
  <si>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</si>
  <si>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</si>
  <si>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</si>
  <si>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</si>
  <si>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</si>
  <si>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</si>
  <si>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</si>
  <si>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</si>
  <si>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</si>
  <si>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</si>
  <si>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</si>
  <si>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</si>
  <si>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</si>
  <si>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</si>
  <si>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</si>
  <si>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</si>
  <si>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</si>
  <si>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</si>
  <si>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</si>
  <si>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</si>
  <si>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</si>
  <si>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</si>
  <si>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</si>
  <si>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</si>
  <si>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</si>
  <si>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</si>
  <si>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</si>
  <si>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</si>
  <si>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</si>
  <si>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</si>
  <si>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</si>
  <si>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</si>
  <si>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</si>
  <si>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</si>
  <si>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</si>
  <si>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</si>
  <si>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</si>
  <si>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</si>
  <si>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</si>
  <si>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</si>
  <si>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</si>
  <si>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</si>
  <si>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</si>
  <si>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</si>
  <si>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</si>
  <si>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</si>
  <si>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</si>
  <si>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</si>
  <si>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</si>
  <si>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</si>
  <si>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</si>
  <si>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</si>
  <si>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</si>
  <si>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</si>
  <si>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</si>
  <si>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</si>
  <si>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</si>
  <si>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</si>
  <si>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</si>
  <si>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</si>
  <si>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</si>
  <si>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</si>
  <si>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</si>
  <si>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</si>
  <si>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</si>
  <si>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</si>
  <si>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</si>
  <si>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</si>
  <si>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</si>
  <si>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</si>
  <si>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</si>
  <si>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</si>
  <si>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</si>
  <si>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</si>
  <si>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</si>
  <si>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</si>
  <si>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</si>
  <si>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</si>
  <si>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</si>
  <si>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</si>
  <si>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</si>
  <si>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</si>
  <si>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</si>
  <si>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</si>
  <si>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</si>
  <si>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</si>
  <si>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</si>
  <si>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</si>
  <si>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</si>
  <si>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</si>
  <si>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</si>
  <si>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</si>
  <si>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</si>
  <si>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</si>
  <si>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</si>
  <si>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</si>
  <si>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</si>
  <si>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</si>
  <si>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</si>
  <si>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</si>
  <si>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</si>
  <si>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</si>
  <si>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</si>
  <si>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</si>
  <si>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</si>
  <si>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</si>
  <si>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</si>
  <si>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</si>
  <si>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</si>
  <si>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</si>
  <si>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</si>
  <si>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</si>
  <si>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</si>
  <si>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</si>
  <si>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</si>
  <si>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</si>
  <si>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</si>
  <si>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</si>
  <si>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</si>
  <si>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</si>
  <si>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</si>
  <si>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</si>
  <si>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</si>
  <si>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</si>
  <si>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</si>
  <si>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</si>
  <si>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</si>
  <si>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</si>
  <si>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</si>
  <si>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</si>
  <si>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</si>
  <si>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</si>
  <si>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</si>
  <si>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</si>
  <si>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</si>
  <si>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</si>
  <si>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</si>
  <si>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</si>
  <si>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</si>
  <si>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</si>
  <si>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</si>
  <si>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</si>
  <si>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</si>
  <si>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</si>
  <si>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</si>
  <si>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</si>
  <si>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</si>
  <si>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</si>
  <si>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</si>
  <si>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</si>
  <si>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</si>
  <si>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</si>
  <si>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</si>
  <si>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</si>
  <si>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</si>
  <si>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</si>
  <si>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</si>
  <si>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</si>
  <si>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</si>
  <si>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</si>
  <si>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</si>
  <si>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</si>
  <si>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</si>
  <si>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</si>
  <si>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</si>
  <si>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</si>
  <si>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</si>
  <si>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</si>
  <si>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</si>
  <si>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</si>
  <si>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</si>
  <si>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</si>
  <si>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</si>
  <si>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</si>
  <si>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</si>
  <si>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</si>
  <si>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</si>
  <si>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</si>
  <si>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</si>
  <si>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</si>
  <si>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</si>
  <si>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</si>
  <si>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</si>
  <si>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</si>
  <si>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</si>
  <si>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</si>
  <si>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</si>
  <si>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</si>
  <si>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</si>
  <si>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</si>
  <si>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</si>
  <si>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</si>
  <si>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</si>
  <si>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</si>
  <si>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</si>
  <si>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</si>
  <si>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</si>
  <si>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</si>
  <si>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</si>
  <si>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</si>
  <si>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</si>
  <si>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</si>
  <si>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</si>
  <si>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</si>
  <si>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</si>
  <si>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</si>
  <si>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</si>
  <si>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</si>
  <si>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</si>
  <si>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</si>
  <si>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</si>
  <si>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</si>
  <si>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</si>
  <si>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</si>
  <si>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</si>
  <si>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</si>
  <si>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</si>
  <si>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</si>
  <si>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</si>
  <si>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</si>
  <si>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</si>
  <si>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</si>
  <si>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</si>
  <si>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</si>
  <si>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</si>
  <si>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</si>
  <si>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</si>
  <si>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</si>
  <si>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</si>
  <si>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</si>
  <si>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</si>
  <si>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</si>
  <si>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</si>
  <si>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</si>
  <si>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</si>
  <si>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</si>
  <si>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</si>
  <si>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</si>
  <si>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</si>
  <si>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</si>
  <si>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</si>
  <si>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</si>
  <si>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</si>
  <si>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</si>
  <si>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</si>
  <si>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</si>
  <si>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</si>
  <si>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</si>
  <si>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</si>
  <si>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</si>
  <si>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</si>
  <si>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</si>
  <si>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</si>
  <si>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</si>
  <si>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</si>
  <si>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</si>
  <si>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</si>
  <si>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</si>
  <si>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</si>
  <si>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</si>
  <si>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</si>
  <si>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</si>
  <si>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</si>
  <si>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</si>
  <si>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</si>
  <si>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</si>
  <si>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</si>
  <si>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</si>
  <si>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</si>
  <si>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</si>
  <si>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</si>
  <si>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</si>
  <si>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</si>
  <si>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</si>
  <si>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</si>
  <si>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</si>
  <si>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</si>
  <si>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</si>
  <si>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</si>
  <si>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</si>
  <si>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</si>
  <si>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</si>
  <si>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</si>
  <si>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</si>
  <si>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</si>
  <si>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</si>
  <si>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</si>
  <si>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</si>
  <si>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</si>
  <si>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</si>
  <si>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</si>
  <si>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</si>
  <si>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</si>
  <si>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</si>
  <si>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</si>
  <si>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</si>
  <si>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</si>
  <si>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</si>
  <si>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</si>
  <si>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</si>
  <si>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</si>
  <si>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</si>
  <si>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</si>
  <si>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</si>
  <si>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</si>
  <si>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</si>
  <si>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</si>
  <si>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</si>
  <si>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</si>
  <si>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</si>
  <si>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</si>
  <si>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</si>
  <si>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</si>
  <si>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</si>
  <si>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</si>
  <si>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</si>
  <si>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</si>
  <si>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</si>
  <si>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</si>
  <si>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</si>
  <si>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</si>
  <si>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</si>
  <si>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</si>
  <si>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</si>
  <si>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</si>
  <si>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</si>
  <si>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</si>
  <si>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</si>
  <si>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</si>
  <si>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</si>
  <si>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</si>
  <si>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</si>
  <si>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</si>
  <si>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</si>
  <si>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</si>
  <si>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</si>
  <si>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</si>
  <si>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</si>
  <si>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</si>
  <si>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</si>
  <si>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</si>
  <si>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</si>
  <si>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</si>
  <si>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</si>
  <si>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</si>
  <si>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</si>
  <si>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</si>
  <si>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</si>
  <si>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</si>
  <si>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</si>
  <si>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</si>
  <si>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</si>
  <si>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</si>
  <si>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</si>
  <si>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</si>
  <si>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</si>
  <si>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</si>
  <si>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</si>
  <si>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</si>
  <si>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</si>
  <si>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</si>
  <si>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</si>
  <si>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</si>
  <si>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</si>
  <si>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</si>
  <si>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</si>
  <si>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</si>
  <si>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</si>
  <si>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</si>
  <si>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</si>
  <si>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</si>
  <si>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</si>
  <si>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</si>
  <si>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</si>
  <si>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</si>
  <si>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</si>
  <si>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</si>
  <si>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</si>
  <si>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</si>
  <si>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</si>
  <si>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</si>
  <si>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</si>
  <si>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</si>
  <si>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</si>
  <si>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</si>
  <si>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</si>
  <si>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</si>
  <si>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</si>
  <si>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</si>
  <si>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</si>
  <si>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</si>
  <si>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</si>
  <si>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</si>
  <si>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</si>
  <si>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</si>
  <si>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</si>
  <si>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</si>
  <si>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</si>
  <si>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</si>
  <si>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</si>
  <si>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</si>
  <si>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</si>
  <si>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</si>
  <si>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</si>
  <si>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</si>
  <si>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</si>
  <si>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</si>
  <si>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</si>
  <si>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</si>
  <si>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</si>
  <si>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</si>
  <si>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</si>
  <si>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</si>
  <si>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</si>
  <si>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</si>
  <si>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</si>
  <si>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</si>
  <si>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</si>
  <si>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</si>
  <si>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</si>
  <si>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</si>
  <si>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</si>
  <si>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</si>
  <si>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</si>
  <si>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</si>
  <si>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</si>
  <si>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</si>
  <si>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</si>
  <si>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</si>
  <si>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</si>
  <si>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</si>
  <si>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</si>
  <si>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</si>
  <si>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</si>
  <si>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</si>
  <si>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</si>
  <si>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</si>
  <si>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</si>
  <si>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</si>
  <si>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</si>
  <si>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</si>
  <si>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</si>
  <si>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</si>
  <si>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</si>
  <si>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</si>
  <si>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</si>
  <si>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</si>
  <si>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</si>
  <si>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</si>
  <si>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</si>
  <si>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</si>
  <si>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</si>
  <si>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</si>
  <si>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</si>
  <si>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</si>
  <si>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</si>
  <si>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</si>
  <si>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</si>
  <si>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</si>
  <si>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</si>
  <si>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</si>
  <si>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</si>
  <si>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</si>
  <si>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</si>
  <si>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</si>
  <si>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</si>
  <si>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</si>
  <si>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</si>
  <si>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</si>
  <si>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</si>
  <si>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</si>
  <si>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</si>
  <si>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</si>
  <si>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</si>
  <si>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</si>
  <si>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</si>
  <si>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</si>
  <si>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</si>
  <si>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</si>
  <si>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</si>
  <si>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</si>
  <si>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</si>
  <si>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</si>
  <si>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</si>
  <si>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</si>
  <si>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</si>
  <si>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</si>
  <si>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</si>
  <si>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</si>
  <si>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</si>
  <si>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</si>
  <si>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</si>
  <si>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</si>
  <si>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</si>
  <si>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</si>
  <si>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</si>
  <si>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</si>
  <si>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</si>
  <si>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</si>
  <si>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</si>
  <si>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</si>
  <si>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</si>
  <si>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</si>
  <si>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</si>
  <si>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</si>
  <si>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</si>
  <si>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</si>
  <si>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</si>
  <si>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</si>
  <si>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</si>
  <si>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</si>
  <si>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</si>
  <si>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</si>
  <si>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</si>
  <si>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</si>
  <si>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</si>
  <si>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</si>
  <si>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</si>
  <si>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</si>
  <si>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</si>
  <si>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</si>
  <si>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</si>
  <si>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</si>
  <si>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</si>
  <si>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</si>
  <si>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</si>
  <si>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</si>
  <si>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</si>
  <si>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</si>
  <si>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</si>
  <si>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</si>
  <si>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</si>
  <si>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</si>
  <si>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</si>
  <si>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</si>
  <si>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</si>
  <si>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</si>
  <si>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</si>
  <si>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</si>
  <si>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</si>
  <si>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</si>
  <si>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</si>
  <si>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</si>
  <si>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</si>
  <si>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</si>
  <si>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</si>
  <si>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</si>
  <si>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</si>
  <si>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</si>
  <si>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</si>
  <si>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</si>
  <si>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</si>
  <si>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</si>
  <si>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</si>
  <si>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</si>
  <si>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</si>
  <si>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</si>
  <si>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</si>
  <si>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</si>
  <si>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</si>
  <si>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</si>
  <si>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</si>
  <si>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</si>
  <si>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</si>
  <si>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</si>
  <si>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</si>
  <si>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</si>
  <si>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</si>
  <si>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</si>
  <si>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</si>
  <si>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</si>
  <si>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</si>
  <si>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</si>
  <si>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</si>
  <si>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</si>
  <si>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</si>
  <si>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</si>
  <si>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</si>
  <si>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</si>
  <si>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</si>
  <si>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</si>
  <si>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</si>
  <si>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</si>
  <si>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</si>
  <si>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</si>
  <si>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</si>
  <si>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</si>
  <si>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</si>
  <si>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</si>
  <si>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</si>
  <si>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</si>
  <si>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</si>
  <si>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</si>
  <si>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</si>
  <si>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</si>
  <si>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</si>
  <si>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</si>
  <si>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</si>
  <si>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</si>
  <si>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</si>
  <si>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</si>
  <si>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</si>
  <si>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</si>
  <si>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</si>
  <si>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</si>
  <si>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</si>
  <si>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</si>
  <si>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</si>
  <si>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</si>
  <si>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</si>
  <si>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</si>
  <si>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</si>
  <si>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</si>
  <si>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</si>
  <si>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</si>
  <si>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</si>
  <si>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</si>
  <si>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</si>
  <si>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</si>
  <si>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</si>
  <si>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</si>
  <si>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</si>
  <si>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</si>
  <si>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</si>
  <si>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</si>
  <si>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</si>
  <si>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</si>
  <si>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</si>
  <si>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</si>
  <si>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</si>
  <si>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</si>
  <si>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</si>
  <si>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</si>
  <si>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</si>
  <si>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</si>
  <si>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</si>
  <si>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</si>
  <si>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</si>
  <si>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</si>
  <si>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</si>
  <si>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</si>
  <si>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</si>
  <si>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</si>
  <si>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</si>
  <si>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</si>
  <si>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</si>
  <si>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</si>
  <si>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</si>
  <si>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</si>
  <si>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</si>
  <si>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</si>
  <si>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</si>
  <si>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</si>
  <si>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</si>
  <si>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</si>
  <si>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</si>
  <si>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</si>
  <si>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</si>
  <si>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</si>
  <si>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</si>
  <si>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</si>
  <si>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</si>
  <si>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</si>
  <si>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</si>
  <si>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</si>
  <si>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</si>
  <si>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</si>
  <si>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</si>
  <si>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</si>
  <si>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</si>
  <si>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</si>
  <si>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</si>
  <si>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</si>
  <si>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</si>
  <si>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</si>
  <si>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</si>
  <si>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</si>
  <si>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</si>
  <si>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</si>
  <si>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</si>
  <si>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</si>
  <si>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</si>
  <si>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</si>
  <si>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</si>
  <si>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</si>
  <si>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</si>
  <si>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</si>
  <si>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</si>
  <si>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</si>
  <si>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</si>
  <si>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</si>
  <si>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</si>
  <si>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</si>
  <si>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</si>
  <si>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</si>
  <si>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</si>
  <si>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</si>
  <si>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</si>
  <si>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</si>
  <si>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</si>
  <si>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</si>
  <si>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</si>
  <si>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</si>
  <si>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</si>
  <si>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</si>
  <si>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</si>
  <si>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</si>
  <si>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</si>
  <si>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</si>
  <si>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</si>
  <si>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</si>
  <si>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</si>
  <si>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</si>
  <si>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</si>
  <si>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</si>
  <si>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</si>
  <si>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</si>
  <si>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</si>
  <si>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</si>
  <si>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</si>
  <si>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</si>
  <si>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</si>
  <si>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</si>
  <si>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</si>
  <si>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</si>
  <si>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</si>
  <si>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</si>
  <si>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</si>
  <si>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</si>
  <si>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</si>
  <si>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</si>
  <si>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</si>
  <si>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</si>
  <si>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</si>
  <si>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</si>
  <si>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</si>
  <si>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</si>
  <si>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</si>
  <si>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</si>
  <si>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</si>
  <si>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</si>
  <si>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</si>
  <si>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</si>
  <si>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</si>
  <si>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</si>
  <si>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</si>
  <si>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</si>
  <si>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</si>
  <si>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</si>
  <si>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</si>
  <si>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</si>
  <si>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</si>
  <si>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</si>
  <si>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</si>
  <si>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</si>
  <si>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</si>
  <si>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</si>
  <si>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</si>
  <si>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</si>
  <si>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</si>
  <si>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</si>
  <si>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</si>
  <si>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</si>
  <si>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</si>
  <si>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</si>
  <si>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</si>
  <si>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</si>
  <si>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</si>
  <si>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</si>
  <si>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</si>
  <si>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</si>
  <si>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</si>
  <si>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</si>
  <si>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</si>
  <si>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</si>
  <si>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</si>
  <si>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</si>
  <si>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</si>
  <si>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</si>
  <si>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</si>
  <si>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</si>
  <si>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</si>
  <si>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</si>
  <si>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</si>
  <si>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</si>
  <si>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</si>
  <si>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</si>
  <si>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</si>
  <si>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</si>
  <si>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</si>
  <si>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</si>
  <si>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</si>
  <si>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</si>
  <si>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</si>
  <si>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</si>
  <si>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</si>
  <si>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</si>
  <si>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</si>
  <si>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</si>
  <si>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</si>
  <si>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</si>
  <si>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</si>
  <si>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</si>
  <si>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</si>
  <si>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</si>
  <si>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</si>
  <si>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</si>
  <si>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</si>
  <si>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</si>
  <si>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</si>
  <si>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</si>
  <si>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</si>
  <si>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</si>
  <si>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</si>
  <si>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</si>
  <si>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</si>
  <si>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</si>
  <si>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</si>
  <si>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</si>
  <si>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</si>
  <si>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</si>
  <si>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</si>
  <si>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</si>
  <si>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</si>
  <si>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</si>
  <si>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</si>
  <si>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</si>
  <si>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</si>
  <si>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</si>
  <si>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</si>
  <si>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</si>
  <si>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</si>
  <si>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</si>
  <si>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</si>
  <si>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</si>
  <si>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</si>
  <si>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</si>
  <si>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</si>
  <si>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</si>
  <si>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</si>
  <si>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</si>
  <si>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</si>
  <si>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</si>
  <si>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</si>
  <si>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</si>
  <si>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</si>
  <si>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</si>
  <si>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</si>
  <si>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</si>
  <si>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</si>
  <si>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</si>
  <si>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</si>
  <si>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</si>
  <si>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</si>
  <si>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</si>
  <si>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</si>
  <si>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</si>
  <si>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</si>
  <si>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</si>
  <si>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</si>
  <si>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</si>
  <si>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</si>
  <si>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</si>
  <si>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</si>
  <si>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</si>
  <si>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</si>
  <si>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</si>
  <si>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</si>
  <si>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</si>
  <si>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</si>
  <si>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</si>
  <si>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</si>
  <si>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</si>
  <si>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</si>
  <si>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</si>
  <si>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</si>
  <si>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</si>
  <si>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</si>
  <si>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</si>
  <si>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</si>
  <si>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</si>
  <si>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</si>
  <si>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</si>
  <si>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</si>
  <si>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</si>
  <si>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</si>
  <si>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</si>
  <si>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</si>
  <si>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</si>
  <si>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</si>
  <si>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</si>
  <si>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</si>
  <si>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</si>
  <si>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</si>
  <si>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</si>
  <si>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</si>
  <si>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</si>
  <si>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</si>
  <si>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</si>
  <si>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</si>
  <si>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</si>
  <si>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</si>
  <si>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</si>
  <si>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</si>
  <si>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</si>
  <si>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</si>
  <si>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</si>
  <si>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</si>
  <si>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</si>
  <si>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</si>
  <si>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</si>
  <si>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</si>
  <si>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</si>
  <si>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</si>
  <si>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</si>
  <si>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중계기모델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</si>
  <si>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</si>
  <si>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</si>
  <si>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</si>
  <si>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</si>
  <si>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</si>
  <si>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</si>
  <si>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</si>
  <si>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DUO-LO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</si>
  <si>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</si>
  <si>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</si>
  <si>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</si>
  <si>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</si>
  <si>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</si>
  <si>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</si>
  <si>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</si>
  <si>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</si>
  <si>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</si>
  <si>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</si>
  <si>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</si>
  <si>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</si>
  <si>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</si>
  <si>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</si>
  <si>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</si>
  <si>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</si>
  <si>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</si>
  <si>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</si>
  <si>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</si>
  <si>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</si>
  <si>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</si>
  <si>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</si>
  <si>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</si>
  <si>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</si>
  <si>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</si>
  <si>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</si>
  <si>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</si>
  <si>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</si>
  <si>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</si>
  <si>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</si>
  <si>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</si>
  <si>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</si>
  <si>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</si>
  <si>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</si>
  <si>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</si>
  <si>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</si>
  <si>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</si>
  <si>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</si>
  <si>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</si>
  <si>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</si>
  <si>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</si>
  <si>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</si>
  <si>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</si>
  <si>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</si>
  <si>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</si>
  <si>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</si>
  <si>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</si>
  <si>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</si>
  <si>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</si>
  <si>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</si>
  <si>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</si>
  <si>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</si>
  <si>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</si>
  <si>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</si>
  <si>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</si>
  <si>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</si>
  <si>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</si>
  <si>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</si>
  <si>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</si>
  <si>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</si>
  <si>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</si>
  <si>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</si>
  <si>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</si>
  <si>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</si>
  <si>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</si>
  <si>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</si>
  <si>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</si>
  <si>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</si>
  <si>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</si>
  <si>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</si>
  <si>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</si>
  <si>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</si>
  <si>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</si>
  <si>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</si>
  <si>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</si>
  <si>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</si>
  <si>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</si>
  <si>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</si>
  <si>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</si>
  <si>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</si>
  <si>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</si>
  <si>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</si>
  <si>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</si>
  <si>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</si>
  <si>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</si>
  <si>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</si>
  <si>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</si>
  <si>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</si>
  <si>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</si>
  <si>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</si>
  <si>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</si>
  <si>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</si>
  <si>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</si>
  <si>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</si>
  <si>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</si>
  <si>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</si>
  <si>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PD:-20.0,Th:-20.0</t>
  </si>
  <si>
    <t>20260414 13:53:36</t>
  </si>
  <si>
    <t>VSWR</t>
  </si>
  <si>
    <t>20260414 13:48:20</t>
  </si>
  <si>
    <t>VSWR(PAU): 1.00:1</t>
  </si>
  <si>
    <t>PSU SUB S/W Off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</si>
  <si>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</si>
  <si>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</si>
  <si>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</si>
  <si>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</si>
  <si>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</si>
  <si>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</si>
  <si>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</si>
  <si>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</si>
  <si>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</si>
  <si>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</si>
  <si>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</si>
  <si>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</si>
  <si>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</si>
  <si>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</si>
  <si>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</si>
  <si>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</si>
  <si>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</si>
  <si>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</si>
  <si>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[일][AM]거창감악</t>
  </si>
  <si>
    <t>2026-01-14 09:27:32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</si>
  <si>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</si>
  <si>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</si>
  <si>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</si>
  <si>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</si>
  <si>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</si>
  <si>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</si>
  <si>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</si>
  <si>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</si>
  <si>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</si>
  <si>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</si>
  <si>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</si>
  <si>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</si>
  <si>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</si>
  <si>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</si>
  <si>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</si>
  <si>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</si>
  <si>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</si>
  <si>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</si>
  <si>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</si>
  <si>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</si>
  <si>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</si>
  <si>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</si>
  <si>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</si>
  <si>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</si>
  <si>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</si>
  <si>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</si>
  <si>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</si>
  <si>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</si>
  <si>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</si>
  <si>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</si>
  <si>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</si>
  <si>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</si>
  <si>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</si>
  <si>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</si>
  <si>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</si>
  <si>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</si>
  <si>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</si>
  <si>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</si>
  <si>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</si>
  <si>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</si>
  <si>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</si>
  <si>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</si>
  <si>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</si>
  <si>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</si>
  <si>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</si>
  <si>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</si>
  <si>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</si>
  <si>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</si>
  <si>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</si>
  <si>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</si>
  <si>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2026-04-11 10:38:22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</si>
  <si>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</si>
  <si>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</si>
  <si>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</si>
  <si>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</si>
  <si>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</si>
  <si>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</si>
  <si>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</si>
  <si>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</si>
  <si>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</si>
  <si>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</si>
  <si>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</si>
  <si>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</si>
  <si>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</si>
  <si>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</si>
  <si>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</si>
  <si>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</si>
  <si>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</si>
  <si>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</si>
  <si>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</si>
  <si>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</si>
  <si>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</si>
  <si>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</si>
  <si>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</si>
  <si>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</si>
  <si>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</si>
  <si>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</si>
  <si>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</si>
  <si>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</si>
  <si>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</si>
  <si>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</si>
  <si>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</si>
  <si>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</si>
  <si>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</si>
  <si>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</si>
  <si>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</si>
  <si>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</si>
  <si>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</si>
  <si>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</si>
  <si>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</si>
  <si>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</si>
  <si>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</si>
  <si>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</si>
  <si>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</si>
  <si>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</si>
  <si>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</si>
  <si>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</si>
  <si>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</si>
  <si>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</si>
  <si>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</si>
  <si>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</si>
  <si>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</si>
  <si>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</si>
  <si>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</si>
  <si>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</si>
  <si>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</si>
  <si>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</si>
  <si>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</si>
  <si>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</si>
  <si>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</si>
  <si>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</si>
  <si>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200720014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</si>
  <si>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</si>
  <si>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</si>
  <si>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</si>
  <si>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</si>
  <si>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</si>
  <si>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</si>
  <si>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</si>
  <si>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</si>
  <si>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</si>
  <si>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</si>
  <si>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</si>
  <si>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</si>
  <si>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</si>
  <si>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</si>
  <si>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</si>
  <si>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</si>
  <si>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200520062</t>
  </si>
  <si>
    <t>합천해인사W</t>
  </si>
  <si>
    <t>000c05c016103eed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</si>
  <si>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</si>
  <si>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</si>
  <si>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</si>
  <si>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</si>
  <si>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</si>
  <si>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</si>
  <si>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</si>
  <si>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</si>
  <si>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</si>
  <si>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</si>
  <si>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</si>
  <si>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</si>
  <si>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</si>
  <si>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</si>
  <si>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</si>
  <si>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</si>
  <si>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</si>
  <si>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</si>
  <si>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</si>
  <si>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</si>
  <si>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</si>
  <si>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</si>
  <si>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</si>
  <si>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</si>
  <si>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</si>
  <si>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</si>
  <si>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</si>
  <si>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</si>
  <si>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</si>
  <si>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</si>
  <si>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</si>
  <si>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</si>
  <si>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</si>
  <si>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</si>
  <si>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</si>
  <si>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</si>
  <si>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</si>
  <si>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</si>
  <si>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</si>
  <si>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</si>
  <si>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</si>
  <si>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</si>
  <si>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</si>
  <si>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</si>
  <si>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</si>
  <si>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</si>
  <si>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</si>
  <si>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</si>
  <si>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</si>
  <si>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</si>
  <si>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</si>
  <si>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</si>
  <si>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</si>
  <si>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</si>
  <si>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</si>
  <si>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</si>
  <si>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</si>
  <si>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</si>
  <si>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</si>
  <si>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</si>
  <si>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</si>
  <si>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</si>
  <si>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</si>
  <si>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</si>
  <si>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</si>
  <si>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</si>
  <si>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</si>
  <si>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</si>
  <si>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</si>
  <si>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</si>
  <si>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</si>
  <si>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</si>
  <si>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</si>
  <si>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</si>
  <si>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</si>
  <si>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</si>
  <si>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</si>
  <si>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</si>
  <si>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</si>
  <si>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</si>
  <si>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</si>
  <si>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</si>
  <si>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</si>
  <si>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</si>
  <si>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</si>
  <si>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</si>
  <si>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</si>
  <si>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</si>
  <si>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</si>
  <si>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</si>
  <si>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20260418 02:51:17</t>
  </si>
  <si>
    <t>200720136</t>
  </si>
  <si>
    <t>[일][AM]의령칠곡2</t>
  </si>
  <si>
    <t>2026-04-17 12:34:26</t>
  </si>
  <si>
    <t>202320167</t>
  </si>
  <si>
    <t>[일][AM]사천곤양_절약형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</si>
  <si>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</si>
  <si>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</si>
  <si>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</si>
  <si>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</si>
  <si>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</si>
  <si>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</si>
  <si>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</si>
  <si>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</si>
  <si>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</si>
  <si>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</si>
  <si>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</si>
  <si>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</si>
  <si>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10906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</si>
  <si>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</si>
  <si>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</si>
  <si>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</si>
  <si>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</si>
  <si>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</si>
  <si>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</si>
  <si>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</si>
  <si>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</si>
  <si>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</si>
  <si>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</si>
  <si>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</si>
  <si>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</si>
  <si>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</si>
  <si>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</si>
  <si>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</si>
  <si>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</si>
  <si>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</si>
  <si>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</si>
  <si>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</si>
  <si>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</si>
  <si>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</si>
  <si>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</si>
  <si>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</si>
  <si>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200722293</t>
  </si>
  <si>
    <t>[캐][A]하동북천3</t>
  </si>
  <si>
    <t>202129413</t>
  </si>
  <si>
    <t>[외][A]산청거림계곡_ELG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</si>
  <si>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</si>
  <si>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</si>
  <si>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</si>
  <si>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</si>
  <si>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</si>
  <si>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</si>
  <si>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</si>
  <si>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</si>
  <si>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</si>
  <si>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</si>
  <si>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</si>
  <si>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</si>
  <si>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</si>
  <si>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</si>
  <si>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</si>
  <si>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</si>
  <si>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</si>
  <si>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</si>
  <si>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</si>
  <si>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</si>
  <si>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</si>
  <si>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</si>
  <si>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</si>
  <si>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</si>
  <si>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</si>
  <si>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</si>
  <si>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</si>
  <si>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</si>
  <si>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</si>
  <si>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</si>
  <si>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</si>
  <si>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</si>
  <si>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</si>
  <si>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</si>
  <si>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</si>
  <si>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</si>
  <si>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</si>
  <si>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</si>
  <si>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</si>
  <si>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</si>
  <si>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</si>
  <si>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</si>
  <si>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</si>
  <si>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</si>
  <si>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</si>
  <si>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</si>
  <si>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</si>
  <si>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</si>
  <si>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</si>
  <si>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</si>
  <si>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</si>
  <si>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</si>
  <si>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</si>
  <si>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</si>
  <si>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</si>
  <si>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</si>
  <si>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</si>
  <si>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</si>
  <si>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</si>
  <si>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</si>
  <si>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</si>
  <si>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</si>
  <si>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사천서포W_감시회선용</t>
  </si>
  <si>
    <t>MIBOS</t>
  </si>
  <si>
    <t>하동전도상가타운LTROM_D</t>
  </si>
  <si>
    <t>하동전도상가타운LTROM</t>
  </si>
  <si>
    <t>QMHS</t>
  </si>
  <si>
    <t>MiBOS(기본)</t>
  </si>
  <si>
    <t>하동고전2W</t>
  </si>
  <si>
    <t>QRO</t>
  </si>
  <si>
    <t>하동계천3LTRO</t>
  </si>
  <si>
    <t>하동갈사만진입로LTRO</t>
  </si>
  <si>
    <t>(공동)(K_경전)(단)하동하남터널IB_LTROM_MI_D</t>
  </si>
  <si>
    <t>(공동)(K_경전)(단)하동하남터널IB_LTRO5_MI</t>
  </si>
  <si>
    <t>하동횡천3W</t>
  </si>
  <si>
    <t>(공동)(K_경전)(단)하동하남터널IB_LTRO3_MI</t>
  </si>
  <si>
    <t>(공동)(K_경전)(단)하동하남터널IB_LTRO4_MI</t>
  </si>
  <si>
    <t>(공동)(K_경전)(단)하동하남터널IB_LTROM_MI</t>
  </si>
  <si>
    <t>(공동)(K_경전)(단)하동하남터널IB_LTRO2_MI</t>
  </si>
  <si>
    <t>경전선_하동징평터널LTRO</t>
  </si>
  <si>
    <t>(공동)(S)하동고절터널1IB_IRO_MI_81W0</t>
  </si>
  <si>
    <t>(공동)(S)하동고절터널2IB_IRO_MI_81W0</t>
  </si>
  <si>
    <t>MiBOS SMHS</t>
  </si>
  <si>
    <t>iRO(MIMO2.6 Filter Rev.)</t>
  </si>
  <si>
    <t>2026-04-21 19:56:41</t>
  </si>
  <si>
    <t>2026-04-21 19:48:52</t>
  </si>
  <si>
    <t>200926239</t>
  </si>
  <si>
    <t>합천대양</t>
  </si>
  <si>
    <t>21646</t>
  </si>
  <si>
    <t>000c05c016100364</t>
  </si>
  <si>
    <t>DSM 동작 상태</t>
  </si>
  <si>
    <t>SSM 동작 상태</t>
  </si>
  <si>
    <t>20260420 12:02:39</t>
  </si>
  <si>
    <t>OFF</t>
  </si>
  <si>
    <t>20260420 12:02:38</t>
  </si>
  <si>
    <t>Vol(PAU)(DC):+10.2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</si>
  <si>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</si>
  <si>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</si>
  <si>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</si>
  <si>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</si>
  <si>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</si>
  <si>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</si>
  <si>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</si>
  <si>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</si>
  <si>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</si>
  <si>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</si>
  <si>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</si>
  <si>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</si>
  <si>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</si>
  <si>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</si>
  <si>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</si>
  <si>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</si>
  <si>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</si>
  <si>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</si>
  <si>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</si>
  <si>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</si>
  <si>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</si>
  <si>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</si>
  <si>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</si>
  <si>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거창농산W</t>
  </si>
  <si>
    <t>거창농산W/거창완대3WMC</t>
  </si>
  <si>
    <t>DONOR</t>
  </si>
  <si>
    <t>SF-W15</t>
  </si>
  <si>
    <t>거창농산W/거창궁항WMC</t>
  </si>
  <si>
    <t>중계기 종류</t>
  </si>
  <si>
    <t>20260423 03:19:47</t>
  </si>
  <si>
    <t>(K)진주백화점IB_PRU_1_1L</t>
  </si>
  <si>
    <t>PRU/AAU</t>
  </si>
  <si>
    <t>200722289</t>
  </si>
  <si>
    <t>[캐][A]거창남상3</t>
  </si>
  <si>
    <t>2026-04-22 22:20:18</t>
  </si>
  <si>
    <t>2026-04-22 19:08:11</t>
  </si>
  <si>
    <t>2026-04-22 17:42:27</t>
  </si>
  <si>
    <t>2026-04-22 16:26:35</t>
  </si>
  <si>
    <t>2026-04-22 16:08:45</t>
  </si>
  <si>
    <t>2026-04-22 19:11:44</t>
  </si>
  <si>
    <t>2026-04-22 17:14:46</t>
  </si>
  <si>
    <t>2026-04-22 18:26:49</t>
  </si>
  <si>
    <t>2026-04-22 17:23:07</t>
  </si>
  <si>
    <t>2026-04-23 04:57:19</t>
  </si>
  <si>
    <t>2026-04-23 04:34:03</t>
  </si>
  <si>
    <t>2026-04-23 04:31:29</t>
  </si>
  <si>
    <t>공용시설코드</t>
  </si>
  <si>
    <t>Major</t>
  </si>
  <si>
    <t>통신두절</t>
  </si>
  <si>
    <t>2026-04-23 04:17:50</t>
  </si>
  <si>
    <t>2026-04-23 05:01:01</t>
  </si>
  <si>
    <t>건물명</t>
  </si>
  <si>
    <t>기지국 유형</t>
  </si>
  <si>
    <t>경보세부등급</t>
  </si>
  <si>
    <t>202129387</t>
  </si>
  <si>
    <t>[부산]합천매안W</t>
  </si>
  <si>
    <t>[일][AM]합천매안_Li</t>
  </si>
  <si>
    <t>통합 기지국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</si>
  <si>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</si>
  <si>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</si>
  <si>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</si>
  <si>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</si>
  <si>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</si>
  <si>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</si>
  <si>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</si>
  <si>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</si>
  <si>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</si>
  <si>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</si>
  <si>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</si>
  <si>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</si>
  <si>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</si>
  <si>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</si>
  <si>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</si>
  <si>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</si>
  <si>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</si>
  <si>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</si>
  <si>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</si>
  <si>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</si>
  <si>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</si>
  <si>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</si>
  <si>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</si>
  <si>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</si>
  <si>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</si>
  <si>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202223535</t>
  </si>
  <si>
    <t>의령화정2W_5G_외장형</t>
  </si>
  <si>
    <t>[외][A]의령화정2_5G(외함체)</t>
  </si>
  <si>
    <t>2025-12-30 02:50:53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</si>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</sst>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0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2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11" fillId="9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9" fontId="0" fillId="4" borderId="5" xfId="0" applyNumberForma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8" fillId="10" borderId="5" xfId="0" applyFont="1" applyFill="1" applyBorder="1" applyAlignment="1">
      <alignment horizontal="center" vertical="center"/>
    </xf>
    <xf numFmtId="0" fontId="19" fillId="0" borderId="5" xfId="0" applyFont="1" applyBorder="1" applyAlignment="1">
      <alignment horizontal="center" vertical="center" wrapText="1"/>
    </xf>
  </cellXfs>
  <cellStyles count="2">
    <cellStyle name="백분율" xfId="1" builtinId="5"/>
    <cellStyle name="표준" xfId="0" builtinId="0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11" t="s">
        <v>3324</v>
      </c>
      <c r="C3" s="112"/>
      <c r="D3" s="84" t="s">
        <v>3325</v>
      </c>
      <c r="E3" s="84" t="s">
        <v>3326</v>
      </c>
      <c r="F3" s="84" t="s">
        <v>3327</v>
      </c>
      <c r="G3" s="85">
        <v>45946</v>
      </c>
      <c r="H3" s="85">
        <v>45947</v>
      </c>
      <c r="I3" s="85">
        <v>45950</v>
      </c>
      <c r="J3" s="85">
        <v>45951</v>
      </c>
      <c r="K3" s="85">
        <v>45952</v>
      </c>
      <c r="L3" s="85">
        <v>45953</v>
      </c>
      <c r="M3" s="85">
        <v>45954</v>
      </c>
      <c r="N3" s="85">
        <v>45957</v>
      </c>
      <c r="O3" s="85">
        <v>45958</v>
      </c>
      <c r="P3" s="85">
        <v>45959</v>
      </c>
      <c r="Q3" s="85">
        <v>45960</v>
      </c>
      <c r="R3" s="85">
        <v>45961</v>
      </c>
      <c r="S3" s="85">
        <v>45964</v>
      </c>
      <c r="T3" s="85">
        <v>45965</v>
      </c>
      <c r="U3" s="85">
        <v>45971</v>
      </c>
      <c r="V3" s="85">
        <v>45973</v>
      </c>
      <c r="W3" s="85">
        <v>45974</v>
      </c>
      <c r="X3" s="85">
        <v>45975</v>
      </c>
      <c r="Y3" s="85">
        <v>45978</v>
      </c>
      <c r="Z3" s="85">
        <v>45979</v>
      </c>
      <c r="AA3" s="85">
        <v>45980</v>
      </c>
      <c r="AB3" s="85">
        <v>45981</v>
      </c>
      <c r="AC3" s="85">
        <v>45982</v>
      </c>
      <c r="AD3" s="85">
        <v>45985</v>
      </c>
      <c r="AE3" s="85">
        <v>45986</v>
      </c>
      <c r="AF3" s="85">
        <v>45987</v>
      </c>
      <c r="AG3" s="85">
        <v>45988</v>
      </c>
      <c r="AH3" s="85">
        <v>45989</v>
      </c>
      <c r="AI3" s="85">
        <v>45992</v>
      </c>
      <c r="AJ3" s="85">
        <v>45993</v>
      </c>
      <c r="AK3" s="85">
        <v>45994</v>
      </c>
      <c r="AL3" s="85">
        <v>45995</v>
      </c>
      <c r="AM3" s="85">
        <v>45996</v>
      </c>
      <c r="AN3" s="85">
        <v>45999</v>
      </c>
      <c r="AO3" s="85">
        <v>46000</v>
      </c>
      <c r="AP3" s="85">
        <v>46002</v>
      </c>
      <c r="AQ3" s="85">
        <v>46006</v>
      </c>
      <c r="AR3" s="85">
        <v>46007</v>
      </c>
      <c r="AS3" s="85">
        <v>46008</v>
      </c>
      <c r="AT3" s="85">
        <v>46009</v>
      </c>
      <c r="AU3" s="85">
        <v>46013</v>
      </c>
      <c r="AV3" s="85">
        <v>46014</v>
      </c>
      <c r="AW3" s="85">
        <v>46015</v>
      </c>
      <c r="AX3" s="85">
        <v>46020</v>
      </c>
      <c r="AY3" s="85">
        <v>46021</v>
      </c>
      <c r="AZ3" s="85">
        <v>46024</v>
      </c>
      <c r="BA3" s="85">
        <v>46028</v>
      </c>
      <c r="BB3" s="85">
        <v>46029</v>
      </c>
      <c r="BC3" s="85">
        <v>46030</v>
      </c>
      <c r="BD3" s="85">
        <v>46031</v>
      </c>
      <c r="BE3" s="85">
        <v>46034</v>
      </c>
      <c r="BF3" s="85">
        <v>46035</v>
      </c>
      <c r="BG3" s="85">
        <v>46036</v>
      </c>
      <c r="BH3" s="85">
        <v>46037</v>
      </c>
      <c r="BI3" s="85">
        <v>46038</v>
      </c>
      <c r="BJ3" s="85">
        <v>46041</v>
      </c>
      <c r="BK3" s="85">
        <v>46042</v>
      </c>
      <c r="BL3" s="85">
        <v>46043</v>
      </c>
      <c r="BM3" s="85">
        <v>46044</v>
      </c>
      <c r="BN3" s="85">
        <v>46048</v>
      </c>
      <c r="BO3" s="85">
        <v>46049</v>
      </c>
      <c r="BP3" s="85">
        <v>46055</v>
      </c>
      <c r="BQ3" s="85">
        <v>46056</v>
      </c>
      <c r="BR3" s="85">
        <v>46057</v>
      </c>
      <c r="BS3" s="85">
        <v>46058</v>
      </c>
      <c r="BT3" s="85">
        <v>46062</v>
      </c>
      <c r="BU3" s="85">
        <v>46063</v>
      </c>
      <c r="BV3" s="85">
        <v>46064</v>
      </c>
      <c r="BW3" s="85">
        <v>46065</v>
      </c>
      <c r="BX3" s="85">
        <v>46072</v>
      </c>
      <c r="BY3" s="85">
        <v>46073</v>
      </c>
      <c r="BZ3" s="85">
        <v>46076</v>
      </c>
      <c r="CA3" s="85">
        <v>46077</v>
      </c>
      <c r="CB3" s="85">
        <v>46078</v>
      </c>
      <c r="CC3" s="85">
        <v>46079</v>
      </c>
      <c r="CD3" s="85">
        <v>46091</v>
      </c>
      <c r="CE3" s="85">
        <v>46092</v>
      </c>
      <c r="CF3" s="85">
        <v>46093</v>
      </c>
      <c r="CG3" s="85">
        <v>46094</v>
      </c>
      <c r="CH3" s="85">
        <v>46098</v>
      </c>
      <c r="CI3" s="85">
        <v>46099</v>
      </c>
      <c r="CJ3" s="85">
        <v>46100</v>
      </c>
      <c r="CK3" s="85">
        <v>46101</v>
      </c>
      <c r="CL3" s="85">
        <v>46115</v>
      </c>
      <c r="CM3" s="85">
        <v>46118</v>
      </c>
      <c r="CN3" s="85">
        <v>46119</v>
      </c>
      <c r="CO3" s="85">
        <v>46120</v>
      </c>
      <c r="CP3" s="85">
        <v>46121</v>
      </c>
      <c r="CQ3" s="85">
        <v>46122</v>
      </c>
      <c r="CR3" s="85">
        <v>46125</v>
      </c>
      <c r="CS3" s="85">
        <v>46128</v>
      </c>
      <c r="CT3" s="85">
        <v>46132</v>
      </c>
      <c r="CU3" s="85">
        <v>46133</v>
      </c>
    </row>
    <row r="4" spans="2:99" x14ac:dyDescent="0.3">
      <c r="B4" s="86" t="s">
        <v>3328</v>
      </c>
      <c r="C4" s="87" t="s">
        <v>3329</v>
      </c>
      <c r="D4" s="87">
        <v>7</v>
      </c>
      <c r="E4" s="87">
        <v>16</v>
      </c>
      <c r="F4" s="87">
        <v>4</v>
      </c>
      <c r="G4" s="88">
        <v>11</v>
      </c>
      <c r="H4" s="88">
        <v>4</v>
      </c>
      <c r="I4" s="88">
        <v>13</v>
      </c>
      <c r="J4" s="88">
        <v>17</v>
      </c>
      <c r="K4" s="88">
        <v>6</v>
      </c>
      <c r="L4" s="88">
        <v>8</v>
      </c>
      <c r="M4" s="88">
        <v>3</v>
      </c>
      <c r="N4" s="88">
        <v>7</v>
      </c>
      <c r="O4" s="88">
        <v>9</v>
      </c>
      <c r="P4" s="88">
        <v>12</v>
      </c>
      <c r="Q4" s="88">
        <v>4</v>
      </c>
      <c r="R4" s="88">
        <v>12</v>
      </c>
      <c r="S4" s="88">
        <v>11</v>
      </c>
      <c r="T4" s="88">
        <v>2</v>
      </c>
      <c r="U4" s="88">
        <v>13</v>
      </c>
      <c r="V4" s="88">
        <v>11</v>
      </c>
      <c r="W4" s="88">
        <v>4</v>
      </c>
      <c r="X4" s="88">
        <v>3</v>
      </c>
      <c r="Y4" s="88">
        <v>5</v>
      </c>
      <c r="Z4" s="88">
        <v>7</v>
      </c>
      <c r="AA4" s="88">
        <v>2</v>
      </c>
      <c r="AB4" s="88">
        <v>6</v>
      </c>
      <c r="AC4" s="88">
        <v>4</v>
      </c>
      <c r="AD4" s="88">
        <v>5</v>
      </c>
      <c r="AE4" s="88">
        <v>1</v>
      </c>
      <c r="AF4" s="88">
        <v>1</v>
      </c>
      <c r="AG4" s="88">
        <v>4</v>
      </c>
      <c r="AH4" s="88">
        <v>4</v>
      </c>
      <c r="AI4" s="88">
        <v>2</v>
      </c>
      <c r="AJ4" s="88">
        <v>0</v>
      </c>
      <c r="AK4" s="88">
        <v>6</v>
      </c>
      <c r="AL4" s="88">
        <v>12</v>
      </c>
      <c r="AM4" s="88">
        <v>3</v>
      </c>
      <c r="AN4" s="88">
        <v>5</v>
      </c>
      <c r="AO4" s="88">
        <v>1</v>
      </c>
      <c r="AP4" s="88">
        <v>1</v>
      </c>
      <c r="AQ4" s="88">
        <v>6</v>
      </c>
      <c r="AR4" s="88">
        <v>6</v>
      </c>
      <c r="AS4" s="88">
        <v>0</v>
      </c>
      <c r="AT4" s="88">
        <v>7</v>
      </c>
      <c r="AU4" s="88">
        <v>15</v>
      </c>
      <c r="AV4" s="88">
        <v>3</v>
      </c>
      <c r="AW4" s="88">
        <v>9</v>
      </c>
      <c r="AX4" s="88">
        <v>6</v>
      </c>
      <c r="AY4" s="88">
        <v>3</v>
      </c>
      <c r="AZ4" s="88">
        <v>7</v>
      </c>
      <c r="BA4" s="88">
        <v>3</v>
      </c>
      <c r="BB4" s="88">
        <v>3</v>
      </c>
      <c r="BC4" s="88">
        <v>4</v>
      </c>
      <c r="BD4" s="88">
        <v>4</v>
      </c>
      <c r="BE4" s="88">
        <v>15</v>
      </c>
      <c r="BF4" s="88">
        <v>0</v>
      </c>
      <c r="BG4" s="88">
        <v>1</v>
      </c>
      <c r="BH4" s="88">
        <v>1</v>
      </c>
      <c r="BI4" s="88">
        <v>1</v>
      </c>
      <c r="BJ4" s="88">
        <v>5</v>
      </c>
      <c r="BK4" s="88">
        <v>4</v>
      </c>
      <c r="BL4" s="88">
        <v>1</v>
      </c>
      <c r="BM4" s="88">
        <v>6</v>
      </c>
      <c r="BN4" s="88">
        <v>7</v>
      </c>
      <c r="BO4" s="88">
        <v>0</v>
      </c>
      <c r="BP4" s="88">
        <v>4</v>
      </c>
      <c r="BQ4" s="88">
        <v>10</v>
      </c>
      <c r="BR4" s="88">
        <v>10</v>
      </c>
      <c r="BS4" s="88">
        <v>0</v>
      </c>
      <c r="BT4" s="88">
        <v>19</v>
      </c>
      <c r="BU4" s="88">
        <v>4</v>
      </c>
      <c r="BV4" s="88">
        <v>1</v>
      </c>
      <c r="BW4" s="88">
        <v>2</v>
      </c>
      <c r="BX4" s="88">
        <v>4</v>
      </c>
      <c r="BY4" s="88">
        <v>4</v>
      </c>
      <c r="BZ4" s="88">
        <v>10</v>
      </c>
      <c r="CA4" s="88">
        <v>3</v>
      </c>
      <c r="CB4" s="88">
        <v>14</v>
      </c>
      <c r="CC4" s="88">
        <v>0</v>
      </c>
      <c r="CD4" s="88">
        <v>4</v>
      </c>
      <c r="CE4" s="88">
        <v>2</v>
      </c>
      <c r="CF4" s="88">
        <v>2</v>
      </c>
      <c r="CG4" s="88">
        <v>2</v>
      </c>
      <c r="CH4" s="88">
        <v>4</v>
      </c>
      <c r="CI4" s="88">
        <v>10</v>
      </c>
      <c r="CJ4" s="88">
        <v>7</v>
      </c>
      <c r="CK4" s="88">
        <v>3</v>
      </c>
      <c r="CL4" s="88">
        <v>4</v>
      </c>
      <c r="CM4" s="88">
        <v>7</v>
      </c>
      <c r="CN4" s="88">
        <v>13</v>
      </c>
      <c r="CO4" s="88">
        <v>5</v>
      </c>
      <c r="CP4" s="88">
        <v>3</v>
      </c>
      <c r="CQ4" s="88">
        <v>3</v>
      </c>
      <c r="CR4" s="88">
        <v>5</v>
      </c>
      <c r="CS4" s="88">
        <v>4</v>
      </c>
      <c r="CT4" s="88">
        <v>5</v>
      </c>
      <c r="CU4" s="88">
        <v>3</v>
      </c>
    </row>
    <row r="5" spans="2:99" x14ac:dyDescent="0.3">
      <c r="B5" s="86" t="s">
        <v>3330</v>
      </c>
      <c r="C5" s="87" t="s">
        <v>3331</v>
      </c>
      <c r="D5" s="87">
        <v>21</v>
      </c>
      <c r="E5" s="87">
        <v>19</v>
      </c>
      <c r="F5" s="87">
        <v>18</v>
      </c>
      <c r="G5" s="88">
        <v>18</v>
      </c>
      <c r="H5" s="88">
        <v>18</v>
      </c>
      <c r="I5" s="88">
        <v>15</v>
      </c>
      <c r="J5" s="88">
        <v>16</v>
      </c>
      <c r="K5" s="88">
        <v>15</v>
      </c>
      <c r="L5" s="88">
        <v>19</v>
      </c>
      <c r="M5" s="88">
        <v>19</v>
      </c>
      <c r="N5" s="88">
        <v>16</v>
      </c>
      <c r="O5" s="88">
        <v>20</v>
      </c>
      <c r="P5" s="88">
        <v>21</v>
      </c>
      <c r="Q5" s="88">
        <v>24</v>
      </c>
      <c r="R5" s="88">
        <v>18</v>
      </c>
      <c r="S5" s="88">
        <v>17</v>
      </c>
      <c r="T5" s="88">
        <v>16</v>
      </c>
      <c r="U5" s="88">
        <v>8</v>
      </c>
      <c r="V5" s="88">
        <v>12</v>
      </c>
      <c r="W5" s="88">
        <v>10</v>
      </c>
      <c r="X5" s="88">
        <v>10</v>
      </c>
      <c r="Y5" s="88">
        <v>12</v>
      </c>
      <c r="Z5" s="88">
        <v>13</v>
      </c>
      <c r="AA5" s="88">
        <v>15</v>
      </c>
      <c r="AB5" s="88">
        <v>15</v>
      </c>
      <c r="AC5" s="88">
        <v>13</v>
      </c>
      <c r="AD5" s="88">
        <v>13</v>
      </c>
      <c r="AE5" s="88">
        <v>16</v>
      </c>
      <c r="AF5" s="88">
        <v>14</v>
      </c>
      <c r="AG5" s="88">
        <v>14</v>
      </c>
      <c r="AH5" s="88">
        <v>14</v>
      </c>
      <c r="AI5" s="88">
        <v>14</v>
      </c>
      <c r="AJ5" s="88">
        <v>16</v>
      </c>
      <c r="AK5" s="88">
        <v>12</v>
      </c>
      <c r="AL5" s="88">
        <v>14</v>
      </c>
      <c r="AM5" s="88">
        <v>18</v>
      </c>
      <c r="AN5" s="88">
        <v>14</v>
      </c>
      <c r="AO5" s="88">
        <v>15</v>
      </c>
      <c r="AP5" s="88">
        <v>8</v>
      </c>
      <c r="AQ5" s="88">
        <v>5</v>
      </c>
      <c r="AR5" s="88">
        <v>6</v>
      </c>
      <c r="AS5" s="88">
        <v>5</v>
      </c>
      <c r="AT5" s="88">
        <v>3</v>
      </c>
      <c r="AU5" s="88">
        <v>3</v>
      </c>
      <c r="AV5" s="88">
        <v>9</v>
      </c>
      <c r="AW5" s="88">
        <v>5</v>
      </c>
      <c r="AX5" s="88">
        <v>7</v>
      </c>
      <c r="AY5" s="88">
        <v>11</v>
      </c>
      <c r="AZ5" s="88">
        <v>6</v>
      </c>
      <c r="BA5" s="88">
        <v>9</v>
      </c>
      <c r="BB5" s="88">
        <v>8</v>
      </c>
      <c r="BC5" s="88">
        <v>9</v>
      </c>
      <c r="BD5" s="88">
        <v>10</v>
      </c>
      <c r="BE5" s="88">
        <v>11</v>
      </c>
      <c r="BF5" s="88">
        <v>14</v>
      </c>
      <c r="BG5" s="88">
        <v>13</v>
      </c>
      <c r="BH5" s="88">
        <v>13</v>
      </c>
      <c r="BI5" s="88">
        <v>11</v>
      </c>
      <c r="BJ5" s="88">
        <v>10</v>
      </c>
      <c r="BK5" s="88">
        <v>14</v>
      </c>
      <c r="BL5" s="88">
        <v>14</v>
      </c>
      <c r="BM5" s="88">
        <v>14</v>
      </c>
      <c r="BN5" s="88">
        <v>15</v>
      </c>
      <c r="BO5" s="88">
        <v>14</v>
      </c>
      <c r="BP5" s="88">
        <v>8</v>
      </c>
      <c r="BQ5" s="88">
        <v>10</v>
      </c>
      <c r="BR5" s="88">
        <v>10</v>
      </c>
      <c r="BS5" s="88">
        <v>9</v>
      </c>
      <c r="BT5" s="88">
        <v>5</v>
      </c>
      <c r="BU5" s="88">
        <v>12</v>
      </c>
      <c r="BV5" s="88">
        <v>9</v>
      </c>
      <c r="BW5" s="88">
        <v>10</v>
      </c>
      <c r="BX5" s="88">
        <v>11</v>
      </c>
      <c r="BY5" s="88">
        <v>12</v>
      </c>
      <c r="BZ5" s="88">
        <v>8</v>
      </c>
      <c r="CA5" s="88">
        <v>8</v>
      </c>
      <c r="CB5" s="88">
        <v>8</v>
      </c>
      <c r="CC5" s="88">
        <v>7</v>
      </c>
      <c r="CD5" s="88">
        <v>8</v>
      </c>
      <c r="CE5" s="88">
        <v>8</v>
      </c>
      <c r="CF5" s="88">
        <v>8</v>
      </c>
      <c r="CG5" s="88">
        <v>7</v>
      </c>
      <c r="CH5" s="88">
        <v>7</v>
      </c>
      <c r="CI5" s="88">
        <v>8</v>
      </c>
      <c r="CJ5" s="88">
        <v>10</v>
      </c>
      <c r="CK5" s="88">
        <v>8</v>
      </c>
      <c r="CL5" s="88">
        <v>6</v>
      </c>
      <c r="CM5" s="88">
        <v>6</v>
      </c>
      <c r="CN5" s="88">
        <v>8</v>
      </c>
      <c r="CO5" s="88">
        <v>8</v>
      </c>
      <c r="CP5" s="88">
        <v>7</v>
      </c>
      <c r="CQ5" s="88">
        <v>7</v>
      </c>
      <c r="CR5" s="88">
        <v>4</v>
      </c>
      <c r="CS5" s="88">
        <v>8</v>
      </c>
      <c r="CT5" s="88">
        <v>9</v>
      </c>
      <c r="CU5" s="88">
        <v>9</v>
      </c>
    </row>
    <row r="6" spans="2:99" x14ac:dyDescent="0.3">
      <c r="B6" s="89"/>
      <c r="C6" s="87" t="s">
        <v>3332</v>
      </c>
      <c r="D6" s="87">
        <v>28</v>
      </c>
      <c r="E6" s="87">
        <v>35</v>
      </c>
      <c r="F6" s="87">
        <v>22</v>
      </c>
      <c r="G6" s="88">
        <v>29</v>
      </c>
      <c r="H6" s="88">
        <v>22</v>
      </c>
      <c r="I6" s="88">
        <v>28</v>
      </c>
      <c r="J6" s="88">
        <v>33</v>
      </c>
      <c r="K6" s="88">
        <v>21</v>
      </c>
      <c r="L6" s="88">
        <v>27</v>
      </c>
      <c r="M6" s="88">
        <v>22</v>
      </c>
      <c r="N6" s="88">
        <v>23</v>
      </c>
      <c r="O6" s="88">
        <v>29</v>
      </c>
      <c r="P6" s="88">
        <f>P4+P5</f>
        <v>33</v>
      </c>
      <c r="Q6" s="88">
        <v>28</v>
      </c>
      <c r="R6" s="88">
        <v>30</v>
      </c>
      <c r="S6" s="88">
        <v>28</v>
      </c>
      <c r="T6" s="88">
        <v>18</v>
      </c>
      <c r="U6" s="88">
        <v>21</v>
      </c>
      <c r="V6" s="88">
        <v>23</v>
      </c>
      <c r="W6" s="88">
        <v>14</v>
      </c>
      <c r="X6" s="88">
        <v>13</v>
      </c>
      <c r="Y6" s="88">
        <v>17</v>
      </c>
      <c r="Z6" s="88">
        <v>20</v>
      </c>
      <c r="AA6" s="88">
        <v>17</v>
      </c>
      <c r="AB6" s="88">
        <v>21</v>
      </c>
      <c r="AC6" s="88">
        <v>17</v>
      </c>
      <c r="AD6" s="88">
        <v>18</v>
      </c>
      <c r="AE6" s="88">
        <v>17</v>
      </c>
      <c r="AF6" s="88">
        <v>15</v>
      </c>
      <c r="AG6" s="88">
        <v>18</v>
      </c>
      <c r="AH6" s="88">
        <v>18</v>
      </c>
      <c r="AI6" s="88">
        <v>16</v>
      </c>
      <c r="AJ6" s="88">
        <v>16</v>
      </c>
      <c r="AK6" s="88">
        <v>18</v>
      </c>
      <c r="AL6" s="88">
        <v>26</v>
      </c>
      <c r="AM6" s="88">
        <v>21</v>
      </c>
      <c r="AN6" s="88">
        <v>19</v>
      </c>
      <c r="AO6" s="88">
        <v>16</v>
      </c>
      <c r="AP6" s="88">
        <v>9</v>
      </c>
      <c r="AQ6" s="88">
        <v>11</v>
      </c>
      <c r="AR6" s="88">
        <v>12</v>
      </c>
      <c r="AS6" s="88">
        <v>5</v>
      </c>
      <c r="AT6" s="88">
        <v>10</v>
      </c>
      <c r="AU6" s="88">
        <v>18</v>
      </c>
      <c r="AV6" s="88">
        <v>12</v>
      </c>
      <c r="AW6" s="88">
        <v>14</v>
      </c>
      <c r="AX6" s="88">
        <v>13</v>
      </c>
      <c r="AY6" s="88">
        <v>14</v>
      </c>
      <c r="AZ6" s="88">
        <v>13</v>
      </c>
      <c r="BA6" s="88">
        <v>12</v>
      </c>
      <c r="BB6" s="88">
        <v>11</v>
      </c>
      <c r="BC6" s="88">
        <v>13</v>
      </c>
      <c r="BD6" s="88">
        <v>14</v>
      </c>
      <c r="BE6" s="88">
        <v>26</v>
      </c>
      <c r="BF6" s="88">
        <v>14</v>
      </c>
      <c r="BG6" s="88">
        <v>14</v>
      </c>
      <c r="BH6" s="88">
        <v>14</v>
      </c>
      <c r="BI6" s="88">
        <v>12</v>
      </c>
      <c r="BJ6" s="88">
        <v>15</v>
      </c>
      <c r="BK6" s="88">
        <v>18</v>
      </c>
      <c r="BL6" s="88">
        <v>15</v>
      </c>
      <c r="BM6" s="88">
        <v>20</v>
      </c>
      <c r="BN6" s="88">
        <v>22</v>
      </c>
      <c r="BO6" s="88">
        <v>14</v>
      </c>
      <c r="BP6" s="88">
        <v>12</v>
      </c>
      <c r="BQ6" s="88">
        <v>20</v>
      </c>
      <c r="BR6" s="88">
        <v>10</v>
      </c>
      <c r="BS6" s="88">
        <v>9</v>
      </c>
      <c r="BT6" s="88">
        <v>24</v>
      </c>
      <c r="BU6" s="88">
        <v>16</v>
      </c>
      <c r="BV6" s="88">
        <v>10</v>
      </c>
      <c r="BW6" s="88">
        <v>12</v>
      </c>
      <c r="BX6" s="88">
        <v>15</v>
      </c>
      <c r="BY6" s="88">
        <v>16</v>
      </c>
      <c r="BZ6" s="88">
        <v>18</v>
      </c>
      <c r="CA6" s="88">
        <v>11</v>
      </c>
      <c r="CB6" s="88">
        <v>22</v>
      </c>
      <c r="CC6" s="88">
        <v>7</v>
      </c>
      <c r="CD6" s="88">
        <v>12</v>
      </c>
      <c r="CE6" s="88">
        <v>10</v>
      </c>
      <c r="CF6" s="88">
        <v>10</v>
      </c>
      <c r="CG6" s="88">
        <v>9</v>
      </c>
      <c r="CH6" s="88">
        <v>11</v>
      </c>
      <c r="CI6" s="88">
        <v>18</v>
      </c>
      <c r="CJ6" s="88">
        <v>17</v>
      </c>
      <c r="CK6" s="88">
        <v>11</v>
      </c>
      <c r="CL6" s="88">
        <v>10</v>
      </c>
      <c r="CM6" s="88">
        <v>13</v>
      </c>
      <c r="CN6" s="88">
        <v>21</v>
      </c>
      <c r="CO6" s="88">
        <v>13</v>
      </c>
      <c r="CP6" s="88">
        <v>10</v>
      </c>
      <c r="CQ6" s="88">
        <v>10</v>
      </c>
      <c r="CR6" s="88">
        <v>9</v>
      </c>
      <c r="CS6" s="88">
        <v>12</v>
      </c>
      <c r="CT6" s="88">
        <v>14</v>
      </c>
      <c r="CU6" s="88">
        <v>12</v>
      </c>
    </row>
    <row r="7" spans="2:99" x14ac:dyDescent="0.3">
      <c r="B7" s="113" t="s">
        <v>3333</v>
      </c>
      <c r="C7" s="90" t="s">
        <v>3334</v>
      </c>
      <c r="D7" s="90">
        <v>24</v>
      </c>
      <c r="E7" s="90">
        <v>35</v>
      </c>
      <c r="F7" s="90">
        <v>20</v>
      </c>
      <c r="G7" s="91">
        <v>29</v>
      </c>
      <c r="H7" s="91">
        <v>22</v>
      </c>
      <c r="I7" s="91">
        <v>21</v>
      </c>
      <c r="J7" s="91">
        <v>29</v>
      </c>
      <c r="K7" s="91">
        <v>15</v>
      </c>
      <c r="L7" s="91">
        <v>25</v>
      </c>
      <c r="M7" s="91">
        <v>22</v>
      </c>
      <c r="N7" s="91">
        <v>23</v>
      </c>
      <c r="O7" s="91">
        <v>29</v>
      </c>
      <c r="P7" s="91">
        <v>32</v>
      </c>
      <c r="Q7" s="91">
        <v>27</v>
      </c>
      <c r="R7" s="91">
        <v>30</v>
      </c>
      <c r="S7" s="91">
        <v>27</v>
      </c>
      <c r="T7" s="91">
        <v>18</v>
      </c>
      <c r="U7" s="91">
        <v>21</v>
      </c>
      <c r="V7" s="91">
        <v>17</v>
      </c>
      <c r="W7" s="91">
        <v>14</v>
      </c>
      <c r="X7" s="91">
        <v>13</v>
      </c>
      <c r="Y7" s="91">
        <v>17</v>
      </c>
      <c r="Z7" s="91">
        <v>19</v>
      </c>
      <c r="AA7" s="91">
        <v>17</v>
      </c>
      <c r="AB7" s="91">
        <v>21</v>
      </c>
      <c r="AC7" s="91">
        <v>17</v>
      </c>
      <c r="AD7" s="91">
        <v>17</v>
      </c>
      <c r="AE7" s="91">
        <v>17</v>
      </c>
      <c r="AF7" s="91">
        <v>15</v>
      </c>
      <c r="AG7" s="91">
        <v>18</v>
      </c>
      <c r="AH7" s="91">
        <v>18</v>
      </c>
      <c r="AI7" s="91">
        <v>14</v>
      </c>
      <c r="AJ7" s="91">
        <v>16</v>
      </c>
      <c r="AK7" s="91">
        <v>16</v>
      </c>
      <c r="AL7" s="91">
        <v>22</v>
      </c>
      <c r="AM7" s="91">
        <v>21</v>
      </c>
      <c r="AN7" s="91">
        <v>19</v>
      </c>
      <c r="AO7" s="91">
        <v>16</v>
      </c>
      <c r="AP7" s="91">
        <v>9</v>
      </c>
      <c r="AQ7" s="91">
        <v>10</v>
      </c>
      <c r="AR7" s="91">
        <v>11</v>
      </c>
      <c r="AS7" s="91">
        <v>5</v>
      </c>
      <c r="AT7" s="91">
        <v>10</v>
      </c>
      <c r="AU7" s="91">
        <v>18</v>
      </c>
      <c r="AV7" s="91">
        <v>11</v>
      </c>
      <c r="AW7" s="91">
        <v>14</v>
      </c>
      <c r="AX7" s="91">
        <v>7</v>
      </c>
      <c r="AY7" s="91">
        <v>14</v>
      </c>
      <c r="AZ7" s="91">
        <v>13</v>
      </c>
      <c r="BA7" s="91">
        <v>12</v>
      </c>
      <c r="BB7" s="91">
        <v>10</v>
      </c>
      <c r="BC7" s="91">
        <v>11</v>
      </c>
      <c r="BD7" s="91">
        <v>14</v>
      </c>
      <c r="BE7" s="91">
        <v>26</v>
      </c>
      <c r="BF7" s="91">
        <v>14</v>
      </c>
      <c r="BG7" s="91">
        <v>14</v>
      </c>
      <c r="BH7" s="91">
        <v>14</v>
      </c>
      <c r="BI7" s="91">
        <v>12</v>
      </c>
      <c r="BJ7" s="91">
        <v>15</v>
      </c>
      <c r="BK7" s="91">
        <v>18</v>
      </c>
      <c r="BL7" s="91">
        <v>15</v>
      </c>
      <c r="BM7" s="91">
        <v>20</v>
      </c>
      <c r="BN7" s="91">
        <v>22</v>
      </c>
      <c r="BO7" s="91">
        <v>14</v>
      </c>
      <c r="BP7" s="91">
        <v>11</v>
      </c>
      <c r="BQ7" s="91">
        <v>19</v>
      </c>
      <c r="BR7" s="91">
        <v>10</v>
      </c>
      <c r="BS7" s="91">
        <v>9</v>
      </c>
      <c r="BT7" s="91">
        <v>23</v>
      </c>
      <c r="BU7" s="91">
        <v>16</v>
      </c>
      <c r="BV7" s="91">
        <v>10</v>
      </c>
      <c r="BW7" s="91">
        <v>12</v>
      </c>
      <c r="BX7" s="91">
        <v>15</v>
      </c>
      <c r="BY7" s="91">
        <v>16</v>
      </c>
      <c r="BZ7" s="91">
        <v>18</v>
      </c>
      <c r="CA7" s="91">
        <v>10</v>
      </c>
      <c r="CB7" s="91">
        <v>22</v>
      </c>
      <c r="CC7" s="91">
        <v>7</v>
      </c>
      <c r="CD7" s="91">
        <v>12</v>
      </c>
      <c r="CE7" s="91">
        <v>10</v>
      </c>
      <c r="CF7" s="91">
        <v>10</v>
      </c>
      <c r="CG7" s="91">
        <v>9</v>
      </c>
      <c r="CH7" s="91">
        <v>11</v>
      </c>
      <c r="CI7" s="91">
        <v>16</v>
      </c>
      <c r="CJ7" s="91">
        <v>17</v>
      </c>
      <c r="CK7" s="91">
        <v>11</v>
      </c>
      <c r="CL7" s="91">
        <v>10</v>
      </c>
      <c r="CM7" s="91">
        <v>13</v>
      </c>
      <c r="CN7" s="91">
        <v>21</v>
      </c>
      <c r="CO7" s="91">
        <v>13</v>
      </c>
      <c r="CP7" s="91">
        <v>10</v>
      </c>
      <c r="CQ7" s="91">
        <v>10</v>
      </c>
      <c r="CR7" s="91">
        <v>9</v>
      </c>
      <c r="CS7" s="91">
        <v>12</v>
      </c>
      <c r="CT7" s="91">
        <v>14</v>
      </c>
      <c r="CU7" s="91">
        <v>12</v>
      </c>
    </row>
    <row r="8" spans="2:99" x14ac:dyDescent="0.3">
      <c r="B8" s="114"/>
      <c r="C8" s="90" t="s">
        <v>3335</v>
      </c>
      <c r="D8" s="92">
        <v>0.85699999999999998</v>
      </c>
      <c r="E8" s="92">
        <v>1</v>
      </c>
      <c r="F8" s="92">
        <v>0.90910000000000002</v>
      </c>
      <c r="G8" s="92">
        <v>1</v>
      </c>
      <c r="H8" s="92">
        <v>1</v>
      </c>
      <c r="I8" s="93">
        <f t="shared" ref="I8:BT8" si="0">I7/I6</f>
        <v>0.75</v>
      </c>
      <c r="J8" s="94">
        <f t="shared" si="0"/>
        <v>0.87878787878787878</v>
      </c>
      <c r="K8" s="94">
        <f t="shared" si="0"/>
        <v>0.7142857142857143</v>
      </c>
      <c r="L8" s="94">
        <f t="shared" si="0"/>
        <v>0.92592592592592593</v>
      </c>
      <c r="M8" s="94">
        <f t="shared" si="0"/>
        <v>1</v>
      </c>
      <c r="N8" s="94">
        <f t="shared" si="0"/>
        <v>1</v>
      </c>
      <c r="O8" s="94">
        <f t="shared" si="0"/>
        <v>1</v>
      </c>
      <c r="P8" s="94">
        <f t="shared" si="0"/>
        <v>0.96969696969696972</v>
      </c>
      <c r="Q8" s="94">
        <f t="shared" si="0"/>
        <v>0.9642857142857143</v>
      </c>
      <c r="R8" s="94">
        <f t="shared" si="0"/>
        <v>1</v>
      </c>
      <c r="S8" s="94">
        <f t="shared" si="0"/>
        <v>0.9642857142857143</v>
      </c>
      <c r="T8" s="94">
        <f t="shared" si="0"/>
        <v>1</v>
      </c>
      <c r="U8" s="94">
        <f t="shared" si="0"/>
        <v>1</v>
      </c>
      <c r="V8" s="94">
        <f t="shared" si="0"/>
        <v>0.73913043478260865</v>
      </c>
      <c r="W8" s="94">
        <f t="shared" si="0"/>
        <v>1</v>
      </c>
      <c r="X8" s="94">
        <f t="shared" si="0"/>
        <v>1</v>
      </c>
      <c r="Y8" s="94">
        <f t="shared" si="0"/>
        <v>1</v>
      </c>
      <c r="Z8" s="94">
        <f t="shared" si="0"/>
        <v>0.95</v>
      </c>
      <c r="AA8" s="94">
        <f t="shared" si="0"/>
        <v>1</v>
      </c>
      <c r="AB8" s="94">
        <f t="shared" si="0"/>
        <v>1</v>
      </c>
      <c r="AC8" s="94">
        <f t="shared" si="0"/>
        <v>1</v>
      </c>
      <c r="AD8" s="94">
        <f t="shared" si="0"/>
        <v>0.94444444444444442</v>
      </c>
      <c r="AE8" s="94">
        <f t="shared" si="0"/>
        <v>1</v>
      </c>
      <c r="AF8" s="94">
        <f t="shared" si="0"/>
        <v>1</v>
      </c>
      <c r="AG8" s="94">
        <f t="shared" si="0"/>
        <v>1</v>
      </c>
      <c r="AH8" s="94">
        <f t="shared" si="0"/>
        <v>1</v>
      </c>
      <c r="AI8" s="94">
        <f t="shared" si="0"/>
        <v>0.875</v>
      </c>
      <c r="AJ8" s="94">
        <f t="shared" si="0"/>
        <v>1</v>
      </c>
      <c r="AK8" s="94">
        <f t="shared" si="0"/>
        <v>0.88888888888888884</v>
      </c>
      <c r="AL8" s="94">
        <f t="shared" si="0"/>
        <v>0.84615384615384615</v>
      </c>
      <c r="AM8" s="94">
        <f t="shared" si="0"/>
        <v>1</v>
      </c>
      <c r="AN8" s="94">
        <f t="shared" si="0"/>
        <v>1</v>
      </c>
      <c r="AO8" s="94">
        <f t="shared" si="0"/>
        <v>1</v>
      </c>
      <c r="AP8" s="94">
        <f t="shared" si="0"/>
        <v>1</v>
      </c>
      <c r="AQ8" s="94">
        <f t="shared" si="0"/>
        <v>0.90909090909090906</v>
      </c>
      <c r="AR8" s="94">
        <f t="shared" si="0"/>
        <v>0.91666666666666663</v>
      </c>
      <c r="AS8" s="94">
        <f t="shared" si="0"/>
        <v>1</v>
      </c>
      <c r="AT8" s="94">
        <f t="shared" si="0"/>
        <v>1</v>
      </c>
      <c r="AU8" s="94">
        <f t="shared" si="0"/>
        <v>1</v>
      </c>
      <c r="AV8" s="94">
        <f t="shared" si="0"/>
        <v>0.91666666666666663</v>
      </c>
      <c r="AW8" s="94">
        <f t="shared" si="0"/>
        <v>1</v>
      </c>
      <c r="AX8" s="94">
        <f t="shared" si="0"/>
        <v>0.53846153846153844</v>
      </c>
      <c r="AY8" s="94">
        <f t="shared" si="0"/>
        <v>1</v>
      </c>
      <c r="AZ8" s="94">
        <f t="shared" si="0"/>
        <v>1</v>
      </c>
      <c r="BA8" s="94">
        <f t="shared" si="0"/>
        <v>1</v>
      </c>
      <c r="BB8" s="94">
        <f t="shared" si="0"/>
        <v>0.90909090909090906</v>
      </c>
      <c r="BC8" s="94">
        <f t="shared" si="0"/>
        <v>0.84615384615384615</v>
      </c>
      <c r="BD8" s="94">
        <f t="shared" si="0"/>
        <v>1</v>
      </c>
      <c r="BE8" s="94">
        <f t="shared" si="0"/>
        <v>1</v>
      </c>
      <c r="BF8" s="94">
        <f t="shared" si="0"/>
        <v>1</v>
      </c>
      <c r="BG8" s="94">
        <f t="shared" si="0"/>
        <v>1</v>
      </c>
      <c r="BH8" s="94">
        <f t="shared" si="0"/>
        <v>1</v>
      </c>
      <c r="BI8" s="94">
        <f t="shared" si="0"/>
        <v>1</v>
      </c>
      <c r="BJ8" s="94">
        <f t="shared" si="0"/>
        <v>1</v>
      </c>
      <c r="BK8" s="94">
        <f t="shared" si="0"/>
        <v>1</v>
      </c>
      <c r="BL8" s="94">
        <f t="shared" si="0"/>
        <v>1</v>
      </c>
      <c r="BM8" s="94">
        <f t="shared" si="0"/>
        <v>1</v>
      </c>
      <c r="BN8" s="94">
        <f t="shared" si="0"/>
        <v>1</v>
      </c>
      <c r="BO8" s="94">
        <f t="shared" si="0"/>
        <v>1</v>
      </c>
      <c r="BP8" s="94">
        <f t="shared" si="0"/>
        <v>0.91666666666666663</v>
      </c>
      <c r="BQ8" s="94">
        <f t="shared" si="0"/>
        <v>0.95</v>
      </c>
      <c r="BR8" s="94">
        <f t="shared" si="0"/>
        <v>1</v>
      </c>
      <c r="BS8" s="94">
        <f t="shared" si="0"/>
        <v>1</v>
      </c>
      <c r="BT8" s="94">
        <f t="shared" si="0"/>
        <v>0.95833333333333337</v>
      </c>
      <c r="BU8" s="94">
        <f t="shared" ref="BU8:CP8" si="1">BU7/BU6</f>
        <v>1</v>
      </c>
      <c r="BV8" s="94">
        <f t="shared" si="1"/>
        <v>1</v>
      </c>
      <c r="BW8" s="94">
        <f t="shared" si="1"/>
        <v>1</v>
      </c>
      <c r="BX8" s="94">
        <f t="shared" si="1"/>
        <v>1</v>
      </c>
      <c r="BY8" s="94">
        <f t="shared" si="1"/>
        <v>1</v>
      </c>
      <c r="BZ8" s="94">
        <f t="shared" si="1"/>
        <v>1</v>
      </c>
      <c r="CA8" s="94">
        <f t="shared" si="1"/>
        <v>0.90909090909090906</v>
      </c>
      <c r="CB8" s="94">
        <f t="shared" si="1"/>
        <v>1</v>
      </c>
      <c r="CC8" s="94">
        <f t="shared" si="1"/>
        <v>1</v>
      </c>
      <c r="CD8" s="94">
        <f t="shared" si="1"/>
        <v>1</v>
      </c>
      <c r="CE8" s="94">
        <f t="shared" si="1"/>
        <v>1</v>
      </c>
      <c r="CF8" s="94">
        <f t="shared" si="1"/>
        <v>1</v>
      </c>
      <c r="CG8" s="94">
        <f t="shared" si="1"/>
        <v>1</v>
      </c>
      <c r="CH8" s="94">
        <f t="shared" si="1"/>
        <v>1</v>
      </c>
      <c r="CI8" s="94">
        <f t="shared" si="1"/>
        <v>0.88888888888888884</v>
      </c>
      <c r="CJ8" s="94">
        <f t="shared" si="1"/>
        <v>1</v>
      </c>
      <c r="CK8" s="94">
        <f t="shared" si="1"/>
        <v>1</v>
      </c>
      <c r="CL8" s="94">
        <f t="shared" si="1"/>
        <v>1</v>
      </c>
      <c r="CM8" s="94">
        <f t="shared" si="1"/>
        <v>1</v>
      </c>
      <c r="CN8" s="94">
        <f t="shared" si="1"/>
        <v>1</v>
      </c>
      <c r="CO8" s="94">
        <f t="shared" si="1"/>
        <v>1</v>
      </c>
      <c r="CP8" s="94">
        <f t="shared" si="1"/>
        <v>1</v>
      </c>
      <c r="CQ8" s="94">
        <f>CQ7/CQ6</f>
        <v>1</v>
      </c>
      <c r="CR8" s="94">
        <f>CR7/CR6</f>
        <v>1</v>
      </c>
      <c r="CS8" s="94">
        <f>CS7/CS6</f>
        <v>1</v>
      </c>
      <c r="CT8" s="94">
        <f>CT7/CT6</f>
        <v>1</v>
      </c>
      <c r="CU8" s="94">
        <f>CU7/CU6</f>
        <v>1</v>
      </c>
    </row>
    <row r="9" spans="2:99" x14ac:dyDescent="0.3">
      <c r="B9" s="115" t="s">
        <v>3336</v>
      </c>
      <c r="C9" s="95" t="s">
        <v>3337</v>
      </c>
      <c r="D9" s="95">
        <v>9</v>
      </c>
      <c r="E9" s="95">
        <v>16</v>
      </c>
      <c r="F9" s="95">
        <v>2</v>
      </c>
      <c r="G9" s="96">
        <v>13</v>
      </c>
      <c r="H9" s="96">
        <v>7</v>
      </c>
      <c r="I9" s="96">
        <v>5</v>
      </c>
      <c r="J9" s="96">
        <v>15</v>
      </c>
      <c r="K9" s="96">
        <v>1</v>
      </c>
      <c r="L9" s="96">
        <v>6</v>
      </c>
      <c r="M9" s="96">
        <v>7</v>
      </c>
      <c r="N9" s="96">
        <v>2</v>
      </c>
      <c r="O9" s="96">
        <v>7</v>
      </c>
      <c r="P9" s="96">
        <v>9</v>
      </c>
      <c r="Q9" s="96">
        <v>5</v>
      </c>
      <c r="R9" s="96">
        <v>10</v>
      </c>
      <c r="S9" s="96">
        <v>11</v>
      </c>
      <c r="T9" s="96">
        <v>3</v>
      </c>
      <c r="U9" s="96">
        <v>10</v>
      </c>
      <c r="V9" s="96">
        <v>9</v>
      </c>
      <c r="W9" s="96">
        <v>2</v>
      </c>
      <c r="X9" s="96">
        <v>1</v>
      </c>
      <c r="Y9" s="96">
        <v>5</v>
      </c>
      <c r="Z9" s="96">
        <v>4</v>
      </c>
      <c r="AA9" s="96"/>
      <c r="AB9" s="96">
        <v>8</v>
      </c>
      <c r="AC9" s="96">
        <v>4</v>
      </c>
      <c r="AD9" s="96">
        <v>1</v>
      </c>
      <c r="AE9" s="96">
        <v>2</v>
      </c>
      <c r="AF9" s="96">
        <v>1</v>
      </c>
      <c r="AG9" s="96">
        <v>4</v>
      </c>
      <c r="AH9" s="96">
        <v>4</v>
      </c>
      <c r="AI9" s="96">
        <v>0</v>
      </c>
      <c r="AJ9" s="96">
        <v>4</v>
      </c>
      <c r="AK9" s="96">
        <v>4</v>
      </c>
      <c r="AL9" s="96">
        <v>7</v>
      </c>
      <c r="AM9" s="96">
        <v>8</v>
      </c>
      <c r="AN9" s="96">
        <v>5</v>
      </c>
      <c r="AO9" s="96">
        <v>6</v>
      </c>
      <c r="AP9" s="96">
        <v>2</v>
      </c>
      <c r="AQ9" s="96">
        <v>5</v>
      </c>
      <c r="AR9" s="96">
        <v>7</v>
      </c>
      <c r="AS9" s="96">
        <v>2</v>
      </c>
      <c r="AT9" s="96">
        <v>8</v>
      </c>
      <c r="AU9" s="96">
        <v>11</v>
      </c>
      <c r="AV9" s="96">
        <v>7</v>
      </c>
      <c r="AW9" s="96">
        <v>9</v>
      </c>
      <c r="AX9" s="96">
        <v>2</v>
      </c>
      <c r="AY9" s="96">
        <v>6</v>
      </c>
      <c r="AZ9" s="96">
        <v>3</v>
      </c>
      <c r="BA9" s="96">
        <v>3</v>
      </c>
      <c r="BB9" s="96">
        <v>2</v>
      </c>
      <c r="BC9" s="96">
        <v>2</v>
      </c>
      <c r="BD9" s="96">
        <v>3</v>
      </c>
      <c r="BE9" s="96">
        <v>12</v>
      </c>
      <c r="BF9" s="96">
        <v>1</v>
      </c>
      <c r="BG9" s="96">
        <v>1</v>
      </c>
      <c r="BH9" s="96">
        <v>3</v>
      </c>
      <c r="BI9" s="96">
        <v>2</v>
      </c>
      <c r="BJ9" s="96">
        <v>1</v>
      </c>
      <c r="BK9" s="96">
        <v>5</v>
      </c>
      <c r="BL9" s="96">
        <v>3</v>
      </c>
      <c r="BM9" s="96">
        <v>5</v>
      </c>
      <c r="BN9" s="96">
        <v>9</v>
      </c>
      <c r="BO9" s="96">
        <v>6</v>
      </c>
      <c r="BP9" s="96">
        <v>2</v>
      </c>
      <c r="BQ9" s="96">
        <v>10</v>
      </c>
      <c r="BR9" s="96">
        <v>4</v>
      </c>
      <c r="BS9" s="96">
        <v>4</v>
      </c>
      <c r="BT9" s="96">
        <v>12</v>
      </c>
      <c r="BU9" s="96">
        <v>6</v>
      </c>
      <c r="BV9" s="96">
        <v>0</v>
      </c>
      <c r="BW9" s="96">
        <v>3</v>
      </c>
      <c r="BX9" s="96">
        <v>5</v>
      </c>
      <c r="BY9" s="96">
        <v>6</v>
      </c>
      <c r="BZ9" s="96">
        <v>10</v>
      </c>
      <c r="CA9" s="96">
        <v>2</v>
      </c>
      <c r="CB9" s="96">
        <v>14</v>
      </c>
      <c r="CC9" s="96">
        <v>2</v>
      </c>
      <c r="CD9" s="96">
        <v>4</v>
      </c>
      <c r="CE9" s="96">
        <v>1</v>
      </c>
      <c r="CF9" s="96">
        <v>3</v>
      </c>
      <c r="CG9" s="96">
        <v>2</v>
      </c>
      <c r="CH9" s="96">
        <v>2</v>
      </c>
      <c r="CI9" s="96">
        <v>3</v>
      </c>
      <c r="CJ9" s="96">
        <v>9</v>
      </c>
      <c r="CK9" s="96">
        <v>4</v>
      </c>
      <c r="CL9" s="96">
        <v>4</v>
      </c>
      <c r="CM9" s="96">
        <v>5</v>
      </c>
      <c r="CN9" s="96">
        <v>13</v>
      </c>
      <c r="CO9" s="96">
        <v>4</v>
      </c>
      <c r="CP9" s="96">
        <v>2</v>
      </c>
      <c r="CQ9" s="96">
        <v>5</v>
      </c>
      <c r="CR9" s="96">
        <v>4</v>
      </c>
      <c r="CS9" s="96">
        <v>4</v>
      </c>
      <c r="CT9" s="96">
        <v>5</v>
      </c>
      <c r="CU9" s="96">
        <v>8</v>
      </c>
    </row>
    <row r="10" spans="2:99" x14ac:dyDescent="0.3">
      <c r="B10" s="116"/>
      <c r="C10" s="95" t="s">
        <v>3338</v>
      </c>
      <c r="D10" s="97">
        <v>0.32140000000000002</v>
      </c>
      <c r="E10" s="97">
        <v>0.45710000000000001</v>
      </c>
      <c r="F10" s="97">
        <v>9.0899999999999995E-2</v>
      </c>
      <c r="G10" s="98">
        <v>0.44800000000000001</v>
      </c>
      <c r="H10" s="99">
        <f>H9/H7*100</f>
        <v>31.818181818181817</v>
      </c>
      <c r="I10" s="100">
        <v>0.17799999999999999</v>
      </c>
      <c r="J10" s="101">
        <f t="shared" ref="J10:BU10" si="2">J9/J6</f>
        <v>0.45454545454545453</v>
      </c>
      <c r="K10" s="101">
        <f t="shared" si="2"/>
        <v>4.7619047619047616E-2</v>
      </c>
      <c r="L10" s="101">
        <f t="shared" si="2"/>
        <v>0.22222222222222221</v>
      </c>
      <c r="M10" s="101">
        <f t="shared" si="2"/>
        <v>0.31818181818181818</v>
      </c>
      <c r="N10" s="101">
        <f t="shared" si="2"/>
        <v>8.6956521739130432E-2</v>
      </c>
      <c r="O10" s="101">
        <f t="shared" si="2"/>
        <v>0.2413793103448276</v>
      </c>
      <c r="P10" s="101">
        <f t="shared" si="2"/>
        <v>0.27272727272727271</v>
      </c>
      <c r="Q10" s="101">
        <f t="shared" si="2"/>
        <v>0.17857142857142858</v>
      </c>
      <c r="R10" s="101">
        <f t="shared" si="2"/>
        <v>0.33333333333333331</v>
      </c>
      <c r="S10" s="101">
        <f t="shared" si="2"/>
        <v>0.39285714285714285</v>
      </c>
      <c r="T10" s="101">
        <f t="shared" si="2"/>
        <v>0.16666666666666666</v>
      </c>
      <c r="U10" s="101">
        <f t="shared" si="2"/>
        <v>0.47619047619047616</v>
      </c>
      <c r="V10" s="101">
        <f t="shared" si="2"/>
        <v>0.39130434782608697</v>
      </c>
      <c r="W10" s="101">
        <f t="shared" si="2"/>
        <v>0.14285714285714285</v>
      </c>
      <c r="X10" s="101">
        <f t="shared" si="2"/>
        <v>7.6923076923076927E-2</v>
      </c>
      <c r="Y10" s="101">
        <f t="shared" si="2"/>
        <v>0.29411764705882354</v>
      </c>
      <c r="Z10" s="101">
        <f t="shared" si="2"/>
        <v>0.2</v>
      </c>
      <c r="AA10" s="101">
        <f t="shared" si="2"/>
        <v>0</v>
      </c>
      <c r="AB10" s="101">
        <f t="shared" si="2"/>
        <v>0.38095238095238093</v>
      </c>
      <c r="AC10" s="101">
        <f t="shared" si="2"/>
        <v>0.23529411764705882</v>
      </c>
      <c r="AD10" s="101">
        <f t="shared" si="2"/>
        <v>5.5555555555555552E-2</v>
      </c>
      <c r="AE10" s="101">
        <f t="shared" si="2"/>
        <v>0.11764705882352941</v>
      </c>
      <c r="AF10" s="101">
        <f t="shared" si="2"/>
        <v>6.6666666666666666E-2</v>
      </c>
      <c r="AG10" s="101">
        <f t="shared" si="2"/>
        <v>0.22222222222222221</v>
      </c>
      <c r="AH10" s="101">
        <f t="shared" si="2"/>
        <v>0.22222222222222221</v>
      </c>
      <c r="AI10" s="101">
        <f t="shared" si="2"/>
        <v>0</v>
      </c>
      <c r="AJ10" s="101">
        <f t="shared" si="2"/>
        <v>0.25</v>
      </c>
      <c r="AK10" s="101">
        <f t="shared" si="2"/>
        <v>0.22222222222222221</v>
      </c>
      <c r="AL10" s="101">
        <f t="shared" si="2"/>
        <v>0.26923076923076922</v>
      </c>
      <c r="AM10" s="101">
        <f t="shared" si="2"/>
        <v>0.38095238095238093</v>
      </c>
      <c r="AN10" s="101">
        <f t="shared" si="2"/>
        <v>0.26315789473684209</v>
      </c>
      <c r="AO10" s="101">
        <f t="shared" si="2"/>
        <v>0.375</v>
      </c>
      <c r="AP10" s="101">
        <f t="shared" si="2"/>
        <v>0.22222222222222221</v>
      </c>
      <c r="AQ10" s="101">
        <f t="shared" si="2"/>
        <v>0.45454545454545453</v>
      </c>
      <c r="AR10" s="101">
        <f t="shared" si="2"/>
        <v>0.58333333333333337</v>
      </c>
      <c r="AS10" s="101">
        <f t="shared" si="2"/>
        <v>0.4</v>
      </c>
      <c r="AT10" s="101">
        <f t="shared" si="2"/>
        <v>0.8</v>
      </c>
      <c r="AU10" s="101">
        <f t="shared" si="2"/>
        <v>0.61111111111111116</v>
      </c>
      <c r="AV10" s="101">
        <f t="shared" si="2"/>
        <v>0.58333333333333337</v>
      </c>
      <c r="AW10" s="101">
        <f t="shared" si="2"/>
        <v>0.6428571428571429</v>
      </c>
      <c r="AX10" s="101">
        <f t="shared" si="2"/>
        <v>0.15384615384615385</v>
      </c>
      <c r="AY10" s="101">
        <f t="shared" si="2"/>
        <v>0.42857142857142855</v>
      </c>
      <c r="AZ10" s="101">
        <f t="shared" si="2"/>
        <v>0.23076923076923078</v>
      </c>
      <c r="BA10" s="101">
        <f t="shared" si="2"/>
        <v>0.25</v>
      </c>
      <c r="BB10" s="101">
        <f t="shared" si="2"/>
        <v>0.18181818181818182</v>
      </c>
      <c r="BC10" s="101">
        <f t="shared" si="2"/>
        <v>0.15384615384615385</v>
      </c>
      <c r="BD10" s="101">
        <f t="shared" si="2"/>
        <v>0.21428571428571427</v>
      </c>
      <c r="BE10" s="101">
        <f t="shared" si="2"/>
        <v>0.46153846153846156</v>
      </c>
      <c r="BF10" s="101">
        <f t="shared" si="2"/>
        <v>7.1428571428571425E-2</v>
      </c>
      <c r="BG10" s="101">
        <f t="shared" si="2"/>
        <v>7.1428571428571425E-2</v>
      </c>
      <c r="BH10" s="101">
        <f t="shared" si="2"/>
        <v>0.21428571428571427</v>
      </c>
      <c r="BI10" s="101">
        <f t="shared" si="2"/>
        <v>0.16666666666666666</v>
      </c>
      <c r="BJ10" s="101">
        <f t="shared" si="2"/>
        <v>6.6666666666666666E-2</v>
      </c>
      <c r="BK10" s="101">
        <f t="shared" si="2"/>
        <v>0.27777777777777779</v>
      </c>
      <c r="BL10" s="101">
        <f t="shared" si="2"/>
        <v>0.2</v>
      </c>
      <c r="BM10" s="101">
        <f t="shared" si="2"/>
        <v>0.25</v>
      </c>
      <c r="BN10" s="101">
        <f t="shared" si="2"/>
        <v>0.40909090909090912</v>
      </c>
      <c r="BO10" s="101">
        <f t="shared" si="2"/>
        <v>0.42857142857142855</v>
      </c>
      <c r="BP10" s="101">
        <f t="shared" si="2"/>
        <v>0.16666666666666666</v>
      </c>
      <c r="BQ10" s="101">
        <f t="shared" si="2"/>
        <v>0.5</v>
      </c>
      <c r="BR10" s="101">
        <f t="shared" si="2"/>
        <v>0.4</v>
      </c>
      <c r="BS10" s="101">
        <f t="shared" si="2"/>
        <v>0.44444444444444442</v>
      </c>
      <c r="BT10" s="101">
        <f t="shared" si="2"/>
        <v>0.5</v>
      </c>
      <c r="BU10" s="101">
        <f t="shared" si="2"/>
        <v>0.375</v>
      </c>
      <c r="BV10" s="101">
        <f t="shared" ref="BV10:CP10" si="3">BV9/BV6</f>
        <v>0</v>
      </c>
      <c r="BW10" s="101">
        <f t="shared" si="3"/>
        <v>0.25</v>
      </c>
      <c r="BX10" s="101">
        <f t="shared" si="3"/>
        <v>0.33333333333333331</v>
      </c>
      <c r="BY10" s="101">
        <f t="shared" si="3"/>
        <v>0.375</v>
      </c>
      <c r="BZ10" s="101">
        <f t="shared" si="3"/>
        <v>0.55555555555555558</v>
      </c>
      <c r="CA10" s="101">
        <f t="shared" si="3"/>
        <v>0.18181818181818182</v>
      </c>
      <c r="CB10" s="101">
        <f t="shared" si="3"/>
        <v>0.63636363636363635</v>
      </c>
      <c r="CC10" s="101">
        <f t="shared" si="3"/>
        <v>0.2857142857142857</v>
      </c>
      <c r="CD10" s="101">
        <f t="shared" si="3"/>
        <v>0.33333333333333331</v>
      </c>
      <c r="CE10" s="101">
        <f t="shared" si="3"/>
        <v>0.1</v>
      </c>
      <c r="CF10" s="101">
        <f t="shared" si="3"/>
        <v>0.3</v>
      </c>
      <c r="CG10" s="101">
        <f t="shared" si="3"/>
        <v>0.22222222222222221</v>
      </c>
      <c r="CH10" s="101">
        <f t="shared" si="3"/>
        <v>0.18181818181818182</v>
      </c>
      <c r="CI10" s="101">
        <f t="shared" si="3"/>
        <v>0.16666666666666666</v>
      </c>
      <c r="CJ10" s="101">
        <f t="shared" si="3"/>
        <v>0.52941176470588236</v>
      </c>
      <c r="CK10" s="101">
        <f t="shared" si="3"/>
        <v>0.36363636363636365</v>
      </c>
      <c r="CL10" s="101">
        <f t="shared" si="3"/>
        <v>0.4</v>
      </c>
      <c r="CM10" s="101">
        <f t="shared" si="3"/>
        <v>0.38461538461538464</v>
      </c>
      <c r="CN10" s="101">
        <f t="shared" si="3"/>
        <v>0.61904761904761907</v>
      </c>
      <c r="CO10" s="101">
        <f t="shared" si="3"/>
        <v>0.30769230769230771</v>
      </c>
      <c r="CP10" s="101">
        <f t="shared" si="3"/>
        <v>0.2</v>
      </c>
      <c r="CQ10" s="101">
        <f>CQ9/CQ6</f>
        <v>0.5</v>
      </c>
      <c r="CR10" s="101">
        <f>CR9/CR6</f>
        <v>0.44444444444444442</v>
      </c>
      <c r="CS10" s="101">
        <f>CS9/CS6</f>
        <v>0.33333333333333331</v>
      </c>
      <c r="CT10" s="101">
        <f>CT9/CT6</f>
        <v>0.35714285714285715</v>
      </c>
      <c r="CU10" s="101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"/>
  <sheetViews>
    <sheetView workbookViewId="0">
      <selection activeCell="D72" sqref="D72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966"/>
  <sheetViews>
    <sheetView tabSelected="1" zoomScale="85" zoomScaleNormal="85" workbookViewId="0">
      <pane ySplit="1" topLeftCell="A931" activePane="bottomLeft" state="frozen"/>
      <selection activeCell="M2" sqref="M2:M250"/>
      <selection pane="bottomLeft" activeCell="F983" sqref="F983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3467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3101</v>
      </c>
      <c r="AQ873" s="1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3101</v>
      </c>
      <c r="AQ874" s="1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3102</v>
      </c>
      <c r="AQ875" s="1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3103</v>
      </c>
      <c r="L878" s="25" t="s">
        <v>3104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3105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3103</v>
      </c>
      <c r="L879" s="25" t="s">
        <v>3104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3105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3106</v>
      </c>
      <c r="L880" s="25" t="s">
        <v>3107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3108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3109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3110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3111</v>
      </c>
      <c r="L881" s="25" t="s">
        <v>3112</v>
      </c>
      <c r="M881" s="25" t="s">
        <v>54</v>
      </c>
      <c r="N881" s="25" t="s">
        <v>350</v>
      </c>
      <c r="O881" s="25" t="s">
        <v>1065</v>
      </c>
      <c r="P881" s="25" t="s">
        <v>3113</v>
      </c>
      <c r="Q881" s="25" t="s">
        <v>83</v>
      </c>
      <c r="R881" s="25" t="s">
        <v>48</v>
      </c>
      <c r="S881" s="25" t="s">
        <v>3114</v>
      </c>
      <c r="T881" s="25" t="s">
        <v>85</v>
      </c>
      <c r="U881" s="25" t="s">
        <v>206</v>
      </c>
      <c r="V881" s="25" t="s">
        <v>48</v>
      </c>
      <c r="W881" s="25" t="s">
        <v>3115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3116</v>
      </c>
      <c r="AF881" s="25" t="s">
        <v>67</v>
      </c>
      <c r="AG881" s="25" t="s">
        <v>48</v>
      </c>
      <c r="AH881" s="25" t="s">
        <v>3117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3118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3119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3120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3121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3122</v>
      </c>
      <c r="L886" s="47" t="s">
        <v>3123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3124</v>
      </c>
      <c r="AI886" s="47" t="s">
        <v>48</v>
      </c>
      <c r="AJ886" s="47" t="s">
        <v>48</v>
      </c>
      <c r="AK886" s="47" t="s">
        <v>48</v>
      </c>
      <c r="AL886" s="56" t="s">
        <v>69</v>
      </c>
      <c r="AM886" s="57"/>
      <c r="AN886" s="57"/>
      <c r="AO886" s="57"/>
      <c r="AP886" s="57" t="s">
        <v>2635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3125</v>
      </c>
      <c r="L887" s="25" t="s">
        <v>3126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3127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3125</v>
      </c>
      <c r="L888" s="25" t="s">
        <v>3126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3127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3128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3129</v>
      </c>
      <c r="L889" s="25" t="s">
        <v>3130</v>
      </c>
      <c r="M889" s="25" t="s">
        <v>54</v>
      </c>
      <c r="N889" s="25" t="s">
        <v>55</v>
      </c>
      <c r="O889" s="25" t="s">
        <v>560</v>
      </c>
      <c r="P889" s="25" t="s">
        <v>3131</v>
      </c>
      <c r="Q889" s="25" t="s">
        <v>57</v>
      </c>
      <c r="R889" s="25" t="s">
        <v>48</v>
      </c>
      <c r="S889" s="25" t="s">
        <v>3132</v>
      </c>
      <c r="T889" s="25" t="s">
        <v>59</v>
      </c>
      <c r="U889" s="25" t="s">
        <v>398</v>
      </c>
      <c r="V889" s="25" t="s">
        <v>48</v>
      </c>
      <c r="W889" s="25" t="s">
        <v>3133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3134</v>
      </c>
      <c r="AF889" s="25" t="s">
        <v>67</v>
      </c>
      <c r="AG889" s="25" t="s">
        <v>48</v>
      </c>
      <c r="AH889" s="25" t="s">
        <v>3135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3136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3137</v>
      </c>
      <c r="L890" s="25" t="s">
        <v>3138</v>
      </c>
      <c r="M890" s="25" t="s">
        <v>54</v>
      </c>
      <c r="N890" s="25" t="s">
        <v>350</v>
      </c>
      <c r="O890" s="25" t="s">
        <v>971</v>
      </c>
      <c r="P890" s="25" t="s">
        <v>3139</v>
      </c>
      <c r="Q890" s="25" t="s">
        <v>57</v>
      </c>
      <c r="R890" s="25" t="s">
        <v>48</v>
      </c>
      <c r="S890" s="25" t="s">
        <v>3140</v>
      </c>
      <c r="T890" s="25" t="s">
        <v>59</v>
      </c>
      <c r="U890" s="25" t="s">
        <v>195</v>
      </c>
      <c r="V890" s="25" t="s">
        <v>48</v>
      </c>
      <c r="W890" s="25" t="s">
        <v>3141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3139</v>
      </c>
      <c r="AF890" s="25" t="s">
        <v>67</v>
      </c>
      <c r="AG890" s="25" t="s">
        <v>48</v>
      </c>
      <c r="AH890" s="25" t="s">
        <v>3142</v>
      </c>
      <c r="AI890" s="25" t="s">
        <v>48</v>
      </c>
      <c r="AJ890" s="25" t="s">
        <v>48</v>
      </c>
      <c r="AK890" s="25" t="s">
        <v>48</v>
      </c>
      <c r="AL890" s="45" t="s">
        <v>3264</v>
      </c>
      <c r="AM890" s="45"/>
      <c r="AN890" s="45"/>
      <c r="AO890" s="45"/>
      <c r="AP890" s="45" t="s">
        <v>3265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3143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3144</v>
      </c>
      <c r="L891" s="25" t="s">
        <v>3145</v>
      </c>
      <c r="M891" s="25" t="s">
        <v>54</v>
      </c>
      <c r="N891" s="25" t="s">
        <v>350</v>
      </c>
      <c r="O891" s="25" t="s">
        <v>971</v>
      </c>
      <c r="P891" s="25" t="s">
        <v>3146</v>
      </c>
      <c r="Q891" s="25" t="s">
        <v>83</v>
      </c>
      <c r="R891" s="25" t="s">
        <v>48</v>
      </c>
      <c r="S891" s="25" t="s">
        <v>3147</v>
      </c>
      <c r="T891" s="25" t="s">
        <v>85</v>
      </c>
      <c r="U891" s="25" t="s">
        <v>354</v>
      </c>
      <c r="V891" s="25" t="s">
        <v>48</v>
      </c>
      <c r="W891" s="25" t="s">
        <v>3148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3139</v>
      </c>
      <c r="AF891" s="25" t="s">
        <v>67</v>
      </c>
      <c r="AG891" s="25" t="s">
        <v>48</v>
      </c>
      <c r="AH891" s="25" t="s">
        <v>3149</v>
      </c>
      <c r="AI891" s="25" t="s">
        <v>48</v>
      </c>
      <c r="AJ891" s="25" t="s">
        <v>48</v>
      </c>
      <c r="AK891" s="25" t="s">
        <v>48</v>
      </c>
      <c r="AL891" s="45" t="s">
        <v>3264</v>
      </c>
      <c r="AM891" s="45" t="s">
        <v>48</v>
      </c>
      <c r="AN891" s="45"/>
      <c r="AO891" s="45" t="s">
        <v>48</v>
      </c>
      <c r="AP891" s="45" t="s">
        <v>3265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3150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3151</v>
      </c>
      <c r="L892" s="25" t="s">
        <v>3152</v>
      </c>
      <c r="M892" s="25" t="s">
        <v>54</v>
      </c>
      <c r="N892" s="25" t="s">
        <v>350</v>
      </c>
      <c r="O892" s="25" t="s">
        <v>971</v>
      </c>
      <c r="P892" s="25" t="s">
        <v>3153</v>
      </c>
      <c r="Q892" s="25" t="s">
        <v>83</v>
      </c>
      <c r="R892" s="25" t="s">
        <v>48</v>
      </c>
      <c r="S892" s="25" t="s">
        <v>3154</v>
      </c>
      <c r="T892" s="25" t="s">
        <v>85</v>
      </c>
      <c r="U892" s="25" t="s">
        <v>354</v>
      </c>
      <c r="V892" s="25" t="s">
        <v>48</v>
      </c>
      <c r="W892" s="25" t="s">
        <v>3148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3139</v>
      </c>
      <c r="AF892" s="25" t="s">
        <v>67</v>
      </c>
      <c r="AG892" s="25" t="s">
        <v>48</v>
      </c>
      <c r="AH892" s="25" t="s">
        <v>3155</v>
      </c>
      <c r="AI892" s="25" t="s">
        <v>48</v>
      </c>
      <c r="AJ892" s="25" t="s">
        <v>48</v>
      </c>
      <c r="AK892" s="25" t="s">
        <v>48</v>
      </c>
      <c r="AL892" s="45" t="s">
        <v>3264</v>
      </c>
      <c r="AM892" s="45" t="s">
        <v>48</v>
      </c>
      <c r="AN892" s="45"/>
      <c r="AO892" s="45" t="s">
        <v>48</v>
      </c>
      <c r="AP892" s="45" t="s">
        <v>3265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3106</v>
      </c>
      <c r="L893" s="25" t="s">
        <v>3156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3108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3109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3110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3111</v>
      </c>
      <c r="L894" s="47" t="s">
        <v>3157</v>
      </c>
      <c r="M894" s="47" t="s">
        <v>54</v>
      </c>
      <c r="N894" s="47" t="s">
        <v>350</v>
      </c>
      <c r="O894" s="47" t="s">
        <v>1065</v>
      </c>
      <c r="P894" s="47" t="s">
        <v>3113</v>
      </c>
      <c r="Q894" s="47" t="s">
        <v>83</v>
      </c>
      <c r="R894" s="47" t="s">
        <v>48</v>
      </c>
      <c r="S894" s="47" t="s">
        <v>3114</v>
      </c>
      <c r="T894" s="47" t="s">
        <v>85</v>
      </c>
      <c r="U894" s="47" t="s">
        <v>206</v>
      </c>
      <c r="V894" s="47" t="s">
        <v>48</v>
      </c>
      <c r="W894" s="47" t="s">
        <v>3115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3116</v>
      </c>
      <c r="AF894" s="47" t="s">
        <v>67</v>
      </c>
      <c r="AG894" s="47" t="s">
        <v>48</v>
      </c>
      <c r="AH894" s="47" t="s">
        <v>3117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3158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3159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"/>
      <c r="AR896" s="13"/>
      <c r="AS896" s="13"/>
      <c r="AT896" s="12"/>
    </row>
    <row r="897" spans="1:46" ht="16.3" thickBot="1" x14ac:dyDescent="0.35">
      <c r="A897" s="79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3160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80" t="s">
        <v>133</v>
      </c>
      <c r="AM897" s="81" t="s">
        <v>134</v>
      </c>
      <c r="AN897" s="81" t="s">
        <v>134</v>
      </c>
      <c r="AO897" s="81"/>
      <c r="AP897" s="81" t="s">
        <v>135</v>
      </c>
      <c r="AQ897" s="82"/>
      <c r="AR897" s="83"/>
      <c r="AS897" s="83"/>
      <c r="AT897" s="82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6" t="s">
        <v>3266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3267</v>
      </c>
      <c r="L898" s="42" t="s">
        <v>3268</v>
      </c>
      <c r="M898" s="42" t="s">
        <v>54</v>
      </c>
      <c r="N898" s="42" t="s">
        <v>55</v>
      </c>
      <c r="O898" s="42" t="s">
        <v>833</v>
      </c>
      <c r="P898" s="42" t="s">
        <v>3269</v>
      </c>
      <c r="Q898" s="42" t="s">
        <v>83</v>
      </c>
      <c r="R898" s="42" t="s">
        <v>48</v>
      </c>
      <c r="S898" s="42" t="s">
        <v>3270</v>
      </c>
      <c r="T898" s="42" t="s">
        <v>85</v>
      </c>
      <c r="U898" s="42" t="s">
        <v>1543</v>
      </c>
      <c r="V898" s="42" t="s">
        <v>48</v>
      </c>
      <c r="W898" s="42" t="s">
        <v>3271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3272</v>
      </c>
      <c r="AF898" s="42" t="s">
        <v>67</v>
      </c>
      <c r="AG898" s="42" t="s">
        <v>48</v>
      </c>
      <c r="AH898" s="42" t="s">
        <v>3273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77"/>
      <c r="AR898" s="78"/>
      <c r="AS898" s="78"/>
      <c r="AT898" s="77"/>
    </row>
    <row r="899" spans="1:46" ht="15.65" x14ac:dyDescent="0.3">
      <c r="A899" s="15">
        <v>46128</v>
      </c>
      <c r="B899" s="58" t="s">
        <v>44</v>
      </c>
      <c r="C899" s="59" t="s">
        <v>45</v>
      </c>
      <c r="D899" s="59" t="s">
        <v>46</v>
      </c>
      <c r="E899" s="60">
        <v>1</v>
      </c>
      <c r="F899" s="61" t="s">
        <v>3274</v>
      </c>
      <c r="G899" s="62" t="s">
        <v>48</v>
      </c>
      <c r="H899" s="63" t="s">
        <v>193</v>
      </c>
      <c r="I899" s="63" t="s">
        <v>97</v>
      </c>
      <c r="J899" s="63" t="s">
        <v>98</v>
      </c>
      <c r="K899" s="63" t="s">
        <v>3275</v>
      </c>
      <c r="L899" s="63" t="s">
        <v>3276</v>
      </c>
      <c r="M899" s="63" t="s">
        <v>54</v>
      </c>
      <c r="N899" s="63" t="s">
        <v>55</v>
      </c>
      <c r="O899" s="63" t="s">
        <v>428</v>
      </c>
      <c r="P899" s="63" t="s">
        <v>3277</v>
      </c>
      <c r="Q899" s="63" t="s">
        <v>57</v>
      </c>
      <c r="R899" s="63" t="s">
        <v>48</v>
      </c>
      <c r="S899" s="63" t="s">
        <v>3278</v>
      </c>
      <c r="T899" s="63" t="s">
        <v>59</v>
      </c>
      <c r="U899" s="63" t="s">
        <v>747</v>
      </c>
      <c r="V899" s="63" t="s">
        <v>48</v>
      </c>
      <c r="W899" s="63" t="s">
        <v>3279</v>
      </c>
      <c r="X899" s="63" t="s">
        <v>354</v>
      </c>
      <c r="Y899" s="63" t="s">
        <v>61</v>
      </c>
      <c r="Z899" s="63" t="s">
        <v>107</v>
      </c>
      <c r="AA899" s="63" t="s">
        <v>63</v>
      </c>
      <c r="AB899" s="63" t="s">
        <v>64</v>
      </c>
      <c r="AC899" s="63" t="s">
        <v>476</v>
      </c>
      <c r="AD899" s="63" t="s">
        <v>44</v>
      </c>
      <c r="AE899" s="63" t="s">
        <v>3280</v>
      </c>
      <c r="AF899" s="63" t="s">
        <v>67</v>
      </c>
      <c r="AG899" s="63" t="s">
        <v>48</v>
      </c>
      <c r="AH899" s="63" t="s">
        <v>3281</v>
      </c>
      <c r="AI899" s="63" t="s">
        <v>48</v>
      </c>
      <c r="AJ899" s="63" t="s">
        <v>48</v>
      </c>
      <c r="AK899" s="63" t="s">
        <v>48</v>
      </c>
      <c r="AL899" s="75" t="s">
        <v>69</v>
      </c>
      <c r="AM899" s="75" t="s">
        <v>48</v>
      </c>
      <c r="AN899" s="75"/>
      <c r="AO899" s="75" t="s">
        <v>48</v>
      </c>
      <c r="AP899" s="75" t="s">
        <v>3323</v>
      </c>
      <c r="AQ899" s="66"/>
      <c r="AR899" s="67"/>
      <c r="AS899" s="67"/>
      <c r="AT899" s="66"/>
    </row>
    <row r="900" spans="1:46" ht="15.65" x14ac:dyDescent="0.3">
      <c r="A900" s="15">
        <v>46128</v>
      </c>
      <c r="B900" s="58" t="s">
        <v>44</v>
      </c>
      <c r="C900" s="59" t="s">
        <v>45</v>
      </c>
      <c r="D900" s="59" t="s">
        <v>46</v>
      </c>
      <c r="E900" s="60">
        <v>1</v>
      </c>
      <c r="F900" s="61" t="s">
        <v>3282</v>
      </c>
      <c r="G900" s="62" t="s">
        <v>48</v>
      </c>
      <c r="H900" s="63" t="s">
        <v>786</v>
      </c>
      <c r="I900" s="63" t="s">
        <v>97</v>
      </c>
      <c r="J900" s="63" t="s">
        <v>98</v>
      </c>
      <c r="K900" s="63" t="s">
        <v>3275</v>
      </c>
      <c r="L900" s="63" t="s">
        <v>3276</v>
      </c>
      <c r="M900" s="63" t="s">
        <v>54</v>
      </c>
      <c r="N900" s="63" t="s">
        <v>55</v>
      </c>
      <c r="O900" s="63" t="s">
        <v>428</v>
      </c>
      <c r="P900" s="63" t="s">
        <v>3277</v>
      </c>
      <c r="Q900" s="63" t="s">
        <v>57</v>
      </c>
      <c r="R900" s="63" t="s">
        <v>48</v>
      </c>
      <c r="S900" s="63" t="s">
        <v>3283</v>
      </c>
      <c r="T900" s="63" t="s">
        <v>59</v>
      </c>
      <c r="U900" s="63" t="s">
        <v>747</v>
      </c>
      <c r="V900" s="63" t="s">
        <v>48</v>
      </c>
      <c r="W900" s="63" t="s">
        <v>3279</v>
      </c>
      <c r="X900" s="63" t="s">
        <v>354</v>
      </c>
      <c r="Y900" s="63" t="s">
        <v>61</v>
      </c>
      <c r="Z900" s="63" t="s">
        <v>107</v>
      </c>
      <c r="AA900" s="63" t="s">
        <v>63</v>
      </c>
      <c r="AB900" s="63" t="s">
        <v>64</v>
      </c>
      <c r="AC900" s="63" t="s">
        <v>476</v>
      </c>
      <c r="AD900" s="63" t="s">
        <v>44</v>
      </c>
      <c r="AE900" s="63" t="s">
        <v>3280</v>
      </c>
      <c r="AF900" s="63" t="s">
        <v>67</v>
      </c>
      <c r="AG900" s="63" t="s">
        <v>48</v>
      </c>
      <c r="AH900" s="63" t="s">
        <v>3281</v>
      </c>
      <c r="AI900" s="63" t="s">
        <v>48</v>
      </c>
      <c r="AJ900" s="63" t="s">
        <v>48</v>
      </c>
      <c r="AK900" s="63" t="s">
        <v>48</v>
      </c>
      <c r="AL900" s="75" t="s">
        <v>69</v>
      </c>
      <c r="AM900" s="75" t="s">
        <v>48</v>
      </c>
      <c r="AN900" s="75"/>
      <c r="AO900" s="75" t="s">
        <v>48</v>
      </c>
      <c r="AP900" s="75" t="s">
        <v>3323</v>
      </c>
      <c r="AQ900" s="66"/>
      <c r="AR900" s="67"/>
      <c r="AS900" s="67"/>
      <c r="AT900" s="66"/>
    </row>
    <row r="901" spans="1:46" ht="15.65" x14ac:dyDescent="0.3">
      <c r="A901" s="15">
        <v>46128</v>
      </c>
      <c r="B901" s="58" t="s">
        <v>44</v>
      </c>
      <c r="C901" s="59" t="s">
        <v>45</v>
      </c>
      <c r="D901" s="59" t="s">
        <v>46</v>
      </c>
      <c r="E901" s="60">
        <v>1</v>
      </c>
      <c r="F901" s="61" t="s">
        <v>3284</v>
      </c>
      <c r="G901" s="62" t="s">
        <v>48</v>
      </c>
      <c r="H901" s="63" t="s">
        <v>493</v>
      </c>
      <c r="I901" s="63" t="s">
        <v>97</v>
      </c>
      <c r="J901" s="63" t="s">
        <v>98</v>
      </c>
      <c r="K901" s="63" t="s">
        <v>3285</v>
      </c>
      <c r="L901" s="63" t="s">
        <v>3286</v>
      </c>
      <c r="M901" s="63" t="s">
        <v>54</v>
      </c>
      <c r="N901" s="63" t="s">
        <v>607</v>
      </c>
      <c r="O901" s="63" t="s">
        <v>2194</v>
      </c>
      <c r="P901" s="63" t="s">
        <v>3287</v>
      </c>
      <c r="Q901" s="63" t="s">
        <v>57</v>
      </c>
      <c r="R901" s="63" t="s">
        <v>48</v>
      </c>
      <c r="S901" s="63" t="s">
        <v>3288</v>
      </c>
      <c r="T901" s="63" t="s">
        <v>59</v>
      </c>
      <c r="U901" s="63" t="s">
        <v>669</v>
      </c>
      <c r="V901" s="63" t="s">
        <v>48</v>
      </c>
      <c r="W901" s="63" t="s">
        <v>3289</v>
      </c>
      <c r="X901" s="63" t="s">
        <v>291</v>
      </c>
      <c r="Y901" s="63" t="s">
        <v>61</v>
      </c>
      <c r="Z901" s="63" t="s">
        <v>107</v>
      </c>
      <c r="AA901" s="63" t="s">
        <v>63</v>
      </c>
      <c r="AB901" s="63" t="s">
        <v>64</v>
      </c>
      <c r="AC901" s="63" t="s">
        <v>476</v>
      </c>
      <c r="AD901" s="63" t="s">
        <v>44</v>
      </c>
      <c r="AE901" s="63" t="s">
        <v>3290</v>
      </c>
      <c r="AF901" s="63" t="s">
        <v>67</v>
      </c>
      <c r="AG901" s="63" t="s">
        <v>48</v>
      </c>
      <c r="AH901" s="63" t="s">
        <v>3291</v>
      </c>
      <c r="AI901" s="63" t="s">
        <v>48</v>
      </c>
      <c r="AJ901" s="63" t="s">
        <v>48</v>
      </c>
      <c r="AK901" s="63" t="s">
        <v>48</v>
      </c>
      <c r="AL901" s="64" t="s">
        <v>172</v>
      </c>
      <c r="AM901" s="64" t="s">
        <v>48</v>
      </c>
      <c r="AN901" s="64"/>
      <c r="AO901" s="64" t="s">
        <v>48</v>
      </c>
      <c r="AP901" s="64" t="s">
        <v>615</v>
      </c>
      <c r="AQ901" s="66"/>
      <c r="AR901" s="67"/>
      <c r="AS901" s="67"/>
      <c r="AT901" s="66"/>
    </row>
    <row r="902" spans="1:46" ht="15.65" x14ac:dyDescent="0.3">
      <c r="A902" s="15">
        <v>46128</v>
      </c>
      <c r="B902" s="58" t="s">
        <v>44</v>
      </c>
      <c r="C902" s="59" t="s">
        <v>45</v>
      </c>
      <c r="D902" s="59" t="s">
        <v>46</v>
      </c>
      <c r="E902" s="60">
        <v>2</v>
      </c>
      <c r="F902" s="74" t="s">
        <v>3128</v>
      </c>
      <c r="G902" s="62" t="s">
        <v>48</v>
      </c>
      <c r="H902" s="65" t="s">
        <v>122</v>
      </c>
      <c r="I902" s="65" t="s">
        <v>97</v>
      </c>
      <c r="J902" s="65" t="s">
        <v>98</v>
      </c>
      <c r="K902" s="65" t="s">
        <v>3129</v>
      </c>
      <c r="L902" s="65" t="s">
        <v>3292</v>
      </c>
      <c r="M902" s="65" t="s">
        <v>54</v>
      </c>
      <c r="N902" s="65" t="s">
        <v>55</v>
      </c>
      <c r="O902" s="65" t="s">
        <v>560</v>
      </c>
      <c r="P902" s="65" t="s">
        <v>3131</v>
      </c>
      <c r="Q902" s="65" t="s">
        <v>57</v>
      </c>
      <c r="R902" s="65" t="s">
        <v>48</v>
      </c>
      <c r="S902" s="65" t="s">
        <v>3132</v>
      </c>
      <c r="T902" s="65" t="s">
        <v>59</v>
      </c>
      <c r="U902" s="65" t="s">
        <v>398</v>
      </c>
      <c r="V902" s="65" t="s">
        <v>48</v>
      </c>
      <c r="W902" s="65" t="s">
        <v>3133</v>
      </c>
      <c r="X902" s="65" t="s">
        <v>308</v>
      </c>
      <c r="Y902" s="65" t="s">
        <v>61</v>
      </c>
      <c r="Z902" s="65" t="s">
        <v>107</v>
      </c>
      <c r="AA902" s="65" t="s">
        <v>63</v>
      </c>
      <c r="AB902" s="65" t="s">
        <v>64</v>
      </c>
      <c r="AC902" s="65" t="s">
        <v>476</v>
      </c>
      <c r="AD902" s="65" t="s">
        <v>44</v>
      </c>
      <c r="AE902" s="65" t="s">
        <v>3134</v>
      </c>
      <c r="AF902" s="65" t="s">
        <v>67</v>
      </c>
      <c r="AG902" s="65" t="s">
        <v>48</v>
      </c>
      <c r="AH902" s="65" t="s">
        <v>3135</v>
      </c>
      <c r="AI902" s="65" t="s">
        <v>48</v>
      </c>
      <c r="AJ902" s="65" t="s">
        <v>48</v>
      </c>
      <c r="AK902" s="65" t="s">
        <v>48</v>
      </c>
      <c r="AL902" s="75" t="s">
        <v>69</v>
      </c>
      <c r="AM902" s="75" t="s">
        <v>48</v>
      </c>
      <c r="AN902" s="75"/>
      <c r="AO902" s="75" t="s">
        <v>48</v>
      </c>
      <c r="AP902" s="75" t="s">
        <v>3322</v>
      </c>
      <c r="AQ902" s="66"/>
      <c r="AR902" s="67"/>
      <c r="AS902" s="67"/>
      <c r="AT902" s="66"/>
    </row>
    <row r="903" spans="1:46" ht="15.65" x14ac:dyDescent="0.3">
      <c r="A903" s="15">
        <v>46128</v>
      </c>
      <c r="B903" s="58" t="s">
        <v>44</v>
      </c>
      <c r="C903" s="59" t="s">
        <v>45</v>
      </c>
      <c r="D903" s="59" t="s">
        <v>46</v>
      </c>
      <c r="E903" s="60">
        <v>2</v>
      </c>
      <c r="F903" s="61" t="s">
        <v>3136</v>
      </c>
      <c r="G903" s="62" t="s">
        <v>48</v>
      </c>
      <c r="H903" s="65" t="s">
        <v>756</v>
      </c>
      <c r="I903" s="65" t="s">
        <v>97</v>
      </c>
      <c r="J903" s="65" t="s">
        <v>98</v>
      </c>
      <c r="K903" s="65" t="s">
        <v>3137</v>
      </c>
      <c r="L903" s="65" t="s">
        <v>3293</v>
      </c>
      <c r="M903" s="65" t="s">
        <v>54</v>
      </c>
      <c r="N903" s="65" t="s">
        <v>350</v>
      </c>
      <c r="O903" s="65" t="s">
        <v>971</v>
      </c>
      <c r="P903" s="65" t="s">
        <v>3139</v>
      </c>
      <c r="Q903" s="65" t="s">
        <v>57</v>
      </c>
      <c r="R903" s="65" t="s">
        <v>48</v>
      </c>
      <c r="S903" s="65" t="s">
        <v>3140</v>
      </c>
      <c r="T903" s="65" t="s">
        <v>59</v>
      </c>
      <c r="U903" s="65" t="s">
        <v>195</v>
      </c>
      <c r="V903" s="65" t="s">
        <v>48</v>
      </c>
      <c r="W903" s="65" t="s">
        <v>3141</v>
      </c>
      <c r="X903" s="65" t="s">
        <v>143</v>
      </c>
      <c r="Y903" s="65" t="s">
        <v>61</v>
      </c>
      <c r="Z903" s="65" t="s">
        <v>107</v>
      </c>
      <c r="AA903" s="65" t="s">
        <v>63</v>
      </c>
      <c r="AB903" s="65" t="s">
        <v>64</v>
      </c>
      <c r="AC903" s="65" t="s">
        <v>476</v>
      </c>
      <c r="AD903" s="65" t="s">
        <v>44</v>
      </c>
      <c r="AE903" s="65" t="s">
        <v>3139</v>
      </c>
      <c r="AF903" s="65" t="s">
        <v>67</v>
      </c>
      <c r="AG903" s="65" t="s">
        <v>48</v>
      </c>
      <c r="AH903" s="65" t="s">
        <v>3142</v>
      </c>
      <c r="AI903" s="65" t="s">
        <v>48</v>
      </c>
      <c r="AJ903" s="65" t="s">
        <v>48</v>
      </c>
      <c r="AK903" s="65" t="s">
        <v>48</v>
      </c>
      <c r="AL903" s="45" t="s">
        <v>3264</v>
      </c>
      <c r="AM903" s="45"/>
      <c r="AN903" s="45"/>
      <c r="AO903" s="45"/>
      <c r="AP903" s="45" t="s">
        <v>3265</v>
      </c>
      <c r="AQ903" s="66"/>
      <c r="AR903" s="67"/>
      <c r="AS903" s="67"/>
      <c r="AT903" s="66"/>
    </row>
    <row r="904" spans="1:46" ht="15.65" x14ac:dyDescent="0.3">
      <c r="A904" s="102">
        <v>46128</v>
      </c>
      <c r="B904" s="58" t="s">
        <v>44</v>
      </c>
      <c r="C904" s="59" t="s">
        <v>72</v>
      </c>
      <c r="D904" s="59" t="s">
        <v>46</v>
      </c>
      <c r="E904" s="60">
        <v>2</v>
      </c>
      <c r="F904" s="61" t="s">
        <v>3143</v>
      </c>
      <c r="G904" s="62" t="s">
        <v>74</v>
      </c>
      <c r="H904" s="65" t="s">
        <v>523</v>
      </c>
      <c r="I904" s="65" t="s">
        <v>76</v>
      </c>
      <c r="J904" s="65" t="s">
        <v>77</v>
      </c>
      <c r="K904" s="65" t="s">
        <v>3144</v>
      </c>
      <c r="L904" s="65" t="s">
        <v>3294</v>
      </c>
      <c r="M904" s="65" t="s">
        <v>54</v>
      </c>
      <c r="N904" s="65" t="s">
        <v>350</v>
      </c>
      <c r="O904" s="65" t="s">
        <v>971</v>
      </c>
      <c r="P904" s="65" t="s">
        <v>3146</v>
      </c>
      <c r="Q904" s="65" t="s">
        <v>83</v>
      </c>
      <c r="R904" s="65" t="s">
        <v>48</v>
      </c>
      <c r="S904" s="65" t="s">
        <v>3147</v>
      </c>
      <c r="T904" s="65" t="s">
        <v>85</v>
      </c>
      <c r="U904" s="65" t="s">
        <v>354</v>
      </c>
      <c r="V904" s="65" t="s">
        <v>48</v>
      </c>
      <c r="W904" s="65" t="s">
        <v>3148</v>
      </c>
      <c r="X904" s="65" t="s">
        <v>128</v>
      </c>
      <c r="Y904" s="65" t="s">
        <v>89</v>
      </c>
      <c r="Z904" s="65" t="s">
        <v>90</v>
      </c>
      <c r="AA904" s="65" t="s">
        <v>63</v>
      </c>
      <c r="AB904" s="65" t="s">
        <v>64</v>
      </c>
      <c r="AC904" s="65" t="s">
        <v>476</v>
      </c>
      <c r="AD904" s="65" t="s">
        <v>44</v>
      </c>
      <c r="AE904" s="65" t="s">
        <v>3139</v>
      </c>
      <c r="AF904" s="65" t="s">
        <v>67</v>
      </c>
      <c r="AG904" s="65" t="s">
        <v>48</v>
      </c>
      <c r="AH904" s="65" t="s">
        <v>3149</v>
      </c>
      <c r="AI904" s="65" t="s">
        <v>48</v>
      </c>
      <c r="AJ904" s="65" t="s">
        <v>48</v>
      </c>
      <c r="AK904" s="65" t="s">
        <v>48</v>
      </c>
      <c r="AL904" s="75" t="s">
        <v>3264</v>
      </c>
      <c r="AM904" s="75"/>
      <c r="AN904" s="75"/>
      <c r="AO904" s="75"/>
      <c r="AP904" s="75" t="s">
        <v>3265</v>
      </c>
      <c r="AQ904" s="66"/>
      <c r="AR904" s="67"/>
      <c r="AS904" s="67"/>
      <c r="AT904" s="66"/>
    </row>
    <row r="905" spans="1:46" ht="15.65" x14ac:dyDescent="0.3">
      <c r="A905" s="102">
        <v>46128</v>
      </c>
      <c r="B905" s="58" t="s">
        <v>44</v>
      </c>
      <c r="C905" s="59" t="s">
        <v>72</v>
      </c>
      <c r="D905" s="59" t="s">
        <v>46</v>
      </c>
      <c r="E905" s="60">
        <v>2</v>
      </c>
      <c r="F905" s="61" t="s">
        <v>3150</v>
      </c>
      <c r="G905" s="62" t="s">
        <v>74</v>
      </c>
      <c r="H905" s="65" t="s">
        <v>795</v>
      </c>
      <c r="I905" s="65" t="s">
        <v>76</v>
      </c>
      <c r="J905" s="65" t="s">
        <v>77</v>
      </c>
      <c r="K905" s="65" t="s">
        <v>3151</v>
      </c>
      <c r="L905" s="65" t="s">
        <v>3295</v>
      </c>
      <c r="M905" s="65" t="s">
        <v>54</v>
      </c>
      <c r="N905" s="65" t="s">
        <v>350</v>
      </c>
      <c r="O905" s="65" t="s">
        <v>971</v>
      </c>
      <c r="P905" s="65" t="s">
        <v>3153</v>
      </c>
      <c r="Q905" s="65" t="s">
        <v>83</v>
      </c>
      <c r="R905" s="65" t="s">
        <v>48</v>
      </c>
      <c r="S905" s="65" t="s">
        <v>3154</v>
      </c>
      <c r="T905" s="65" t="s">
        <v>85</v>
      </c>
      <c r="U905" s="65" t="s">
        <v>354</v>
      </c>
      <c r="V905" s="65" t="s">
        <v>48</v>
      </c>
      <c r="W905" s="65" t="s">
        <v>3148</v>
      </c>
      <c r="X905" s="65" t="s">
        <v>128</v>
      </c>
      <c r="Y905" s="65" t="s">
        <v>89</v>
      </c>
      <c r="Z905" s="65" t="s">
        <v>90</v>
      </c>
      <c r="AA905" s="65" t="s">
        <v>63</v>
      </c>
      <c r="AB905" s="65" t="s">
        <v>64</v>
      </c>
      <c r="AC905" s="65" t="s">
        <v>476</v>
      </c>
      <c r="AD905" s="65" t="s">
        <v>44</v>
      </c>
      <c r="AE905" s="65" t="s">
        <v>3139</v>
      </c>
      <c r="AF905" s="65" t="s">
        <v>67</v>
      </c>
      <c r="AG905" s="65" t="s">
        <v>48</v>
      </c>
      <c r="AH905" s="65" t="s">
        <v>3155</v>
      </c>
      <c r="AI905" s="65" t="s">
        <v>48</v>
      </c>
      <c r="AJ905" s="65" t="s">
        <v>48</v>
      </c>
      <c r="AK905" s="65" t="s">
        <v>48</v>
      </c>
      <c r="AL905" s="75" t="s">
        <v>3264</v>
      </c>
      <c r="AM905" s="75"/>
      <c r="AN905" s="75"/>
      <c r="AO905" s="75"/>
      <c r="AP905" s="75" t="s">
        <v>3265</v>
      </c>
      <c r="AQ905" s="66"/>
      <c r="AR905" s="67"/>
      <c r="AS905" s="67"/>
      <c r="AT905" s="66"/>
    </row>
    <row r="906" spans="1:46" ht="15.65" x14ac:dyDescent="0.3">
      <c r="A906" s="102">
        <v>46128</v>
      </c>
      <c r="B906" s="58" t="s">
        <v>44</v>
      </c>
      <c r="C906" s="59" t="s">
        <v>72</v>
      </c>
      <c r="D906" s="59" t="s">
        <v>46</v>
      </c>
      <c r="E906" s="60">
        <v>3</v>
      </c>
      <c r="F906" s="61" t="s">
        <v>3021</v>
      </c>
      <c r="G906" s="62" t="s">
        <v>48</v>
      </c>
      <c r="H906" s="65" t="s">
        <v>553</v>
      </c>
      <c r="I906" s="65" t="s">
        <v>76</v>
      </c>
      <c r="J906" s="65" t="s">
        <v>77</v>
      </c>
      <c r="K906" s="65" t="s">
        <v>3106</v>
      </c>
      <c r="L906" s="65" t="s">
        <v>3296</v>
      </c>
      <c r="M906" s="65" t="s">
        <v>54</v>
      </c>
      <c r="N906" s="65" t="s">
        <v>350</v>
      </c>
      <c r="O906" s="65" t="s">
        <v>3024</v>
      </c>
      <c r="P906" s="65" t="s">
        <v>3025</v>
      </c>
      <c r="Q906" s="65" t="s">
        <v>83</v>
      </c>
      <c r="R906" s="65" t="s">
        <v>48</v>
      </c>
      <c r="S906" s="65" t="s">
        <v>3108</v>
      </c>
      <c r="T906" s="65" t="s">
        <v>85</v>
      </c>
      <c r="U906" s="65" t="s">
        <v>206</v>
      </c>
      <c r="V906" s="65" t="s">
        <v>48</v>
      </c>
      <c r="W906" s="65" t="s">
        <v>3027</v>
      </c>
      <c r="X906" s="65" t="s">
        <v>130</v>
      </c>
      <c r="Y906" s="65" t="s">
        <v>89</v>
      </c>
      <c r="Z906" s="65" t="s">
        <v>90</v>
      </c>
      <c r="AA906" s="65" t="s">
        <v>63</v>
      </c>
      <c r="AB906" s="65" t="s">
        <v>64</v>
      </c>
      <c r="AC906" s="65" t="s">
        <v>476</v>
      </c>
      <c r="AD906" s="65" t="s">
        <v>44</v>
      </c>
      <c r="AE906" s="65" t="s">
        <v>3028</v>
      </c>
      <c r="AF906" s="65" t="s">
        <v>67</v>
      </c>
      <c r="AG906" s="65" t="s">
        <v>48</v>
      </c>
      <c r="AH906" s="65" t="s">
        <v>3109</v>
      </c>
      <c r="AI906" s="65" t="s">
        <v>48</v>
      </c>
      <c r="AJ906" s="65" t="s">
        <v>48</v>
      </c>
      <c r="AK906" s="65" t="s">
        <v>48</v>
      </c>
      <c r="AL906" s="103" t="s">
        <v>133</v>
      </c>
      <c r="AM906" s="104" t="s">
        <v>134</v>
      </c>
      <c r="AN906" s="104"/>
      <c r="AO906" s="104"/>
      <c r="AP906" s="104" t="s">
        <v>246</v>
      </c>
      <c r="AQ906" s="66"/>
      <c r="AR906" s="67"/>
      <c r="AS906" s="67"/>
      <c r="AT906" s="66"/>
    </row>
    <row r="907" spans="1:46" ht="15.65" x14ac:dyDescent="0.3">
      <c r="A907" s="102">
        <v>46128</v>
      </c>
      <c r="B907" s="58" t="s">
        <v>44</v>
      </c>
      <c r="C907" s="59" t="s">
        <v>72</v>
      </c>
      <c r="D907" s="59" t="s">
        <v>46</v>
      </c>
      <c r="E907" s="60">
        <v>3</v>
      </c>
      <c r="F907" s="61" t="s">
        <v>3110</v>
      </c>
      <c r="G907" s="62" t="s">
        <v>48</v>
      </c>
      <c r="H907" s="65" t="s">
        <v>302</v>
      </c>
      <c r="I907" s="65" t="s">
        <v>76</v>
      </c>
      <c r="J907" s="65" t="s">
        <v>77</v>
      </c>
      <c r="K907" s="65" t="s">
        <v>3111</v>
      </c>
      <c r="L907" s="65" t="s">
        <v>3297</v>
      </c>
      <c r="M907" s="65" t="s">
        <v>54</v>
      </c>
      <c r="N907" s="65" t="s">
        <v>350</v>
      </c>
      <c r="O907" s="65" t="s">
        <v>1065</v>
      </c>
      <c r="P907" s="65" t="s">
        <v>3113</v>
      </c>
      <c r="Q907" s="65" t="s">
        <v>83</v>
      </c>
      <c r="R907" s="65" t="s">
        <v>48</v>
      </c>
      <c r="S907" s="65" t="s">
        <v>3114</v>
      </c>
      <c r="T907" s="65" t="s">
        <v>85</v>
      </c>
      <c r="U907" s="65" t="s">
        <v>206</v>
      </c>
      <c r="V907" s="65" t="s">
        <v>48</v>
      </c>
      <c r="W907" s="65" t="s">
        <v>3115</v>
      </c>
      <c r="X907" s="65" t="s">
        <v>86</v>
      </c>
      <c r="Y907" s="65" t="s">
        <v>89</v>
      </c>
      <c r="Z907" s="65" t="s">
        <v>90</v>
      </c>
      <c r="AA907" s="65" t="s">
        <v>63</v>
      </c>
      <c r="AB907" s="65" t="s">
        <v>64</v>
      </c>
      <c r="AC907" s="65" t="s">
        <v>476</v>
      </c>
      <c r="AD907" s="65" t="s">
        <v>44</v>
      </c>
      <c r="AE907" s="65" t="s">
        <v>3116</v>
      </c>
      <c r="AF907" s="65" t="s">
        <v>67</v>
      </c>
      <c r="AG907" s="65" t="s">
        <v>48</v>
      </c>
      <c r="AH907" s="65" t="s">
        <v>3117</v>
      </c>
      <c r="AI907" s="65" t="s">
        <v>48</v>
      </c>
      <c r="AJ907" s="65" t="s">
        <v>48</v>
      </c>
      <c r="AK907" s="65" t="s">
        <v>48</v>
      </c>
      <c r="AL907" s="103" t="s">
        <v>516</v>
      </c>
      <c r="AM907" s="64" t="s">
        <v>702</v>
      </c>
      <c r="AN907" s="64"/>
      <c r="AO907" s="64" t="s">
        <v>48</v>
      </c>
      <c r="AP907" s="64" t="s">
        <v>1167</v>
      </c>
      <c r="AQ907" s="66"/>
      <c r="AR907" s="67"/>
      <c r="AS907" s="67"/>
      <c r="AT907" s="66"/>
    </row>
    <row r="908" spans="1:46" ht="15.65" x14ac:dyDescent="0.3">
      <c r="A908" s="102">
        <v>46128</v>
      </c>
      <c r="B908" s="58" t="s">
        <v>44</v>
      </c>
      <c r="C908" s="59" t="s">
        <v>72</v>
      </c>
      <c r="D908" s="59" t="s">
        <v>46</v>
      </c>
      <c r="E908" s="60">
        <v>6</v>
      </c>
      <c r="F908" s="61" t="s">
        <v>3043</v>
      </c>
      <c r="G908" s="62" t="s">
        <v>74</v>
      </c>
      <c r="H908" s="65" t="s">
        <v>411</v>
      </c>
      <c r="I908" s="65" t="s">
        <v>76</v>
      </c>
      <c r="J908" s="65" t="s">
        <v>77</v>
      </c>
      <c r="K908" s="65" t="s">
        <v>3044</v>
      </c>
      <c r="L908" s="65" t="s">
        <v>3298</v>
      </c>
      <c r="M908" s="65" t="s">
        <v>54</v>
      </c>
      <c r="N908" s="65" t="s">
        <v>202</v>
      </c>
      <c r="O908" s="65" t="s">
        <v>3046</v>
      </c>
      <c r="P908" s="65" t="s">
        <v>3047</v>
      </c>
      <c r="Q908" s="65" t="s">
        <v>83</v>
      </c>
      <c r="R908" s="65" t="s">
        <v>48</v>
      </c>
      <c r="S908" s="65" t="s">
        <v>3048</v>
      </c>
      <c r="T908" s="65" t="s">
        <v>85</v>
      </c>
      <c r="U908" s="65" t="s">
        <v>308</v>
      </c>
      <c r="V908" s="65" t="s">
        <v>48</v>
      </c>
      <c r="W908" s="65" t="s">
        <v>3049</v>
      </c>
      <c r="X908" s="65" t="s">
        <v>254</v>
      </c>
      <c r="Y908" s="65" t="s">
        <v>89</v>
      </c>
      <c r="Z908" s="65" t="s">
        <v>90</v>
      </c>
      <c r="AA908" s="65" t="s">
        <v>63</v>
      </c>
      <c r="AB908" s="65" t="s">
        <v>64</v>
      </c>
      <c r="AC908" s="65" t="s">
        <v>476</v>
      </c>
      <c r="AD908" s="65" t="s">
        <v>44</v>
      </c>
      <c r="AE908" s="65" t="s">
        <v>3050</v>
      </c>
      <c r="AF908" s="65" t="s">
        <v>67</v>
      </c>
      <c r="AG908" s="65" t="s">
        <v>48</v>
      </c>
      <c r="AH908" s="65" t="s">
        <v>3051</v>
      </c>
      <c r="AI908" s="65" t="s">
        <v>48</v>
      </c>
      <c r="AJ908" s="65" t="s">
        <v>48</v>
      </c>
      <c r="AK908" s="65" t="s">
        <v>48</v>
      </c>
      <c r="AL908" s="103" t="s">
        <v>516</v>
      </c>
      <c r="AM908" s="104" t="s">
        <v>134</v>
      </c>
      <c r="AN908" s="104"/>
      <c r="AO908" s="104"/>
      <c r="AP908" s="104" t="s">
        <v>246</v>
      </c>
      <c r="AQ908" s="66"/>
      <c r="AR908" s="67"/>
      <c r="AS908" s="67"/>
      <c r="AT908" s="66"/>
    </row>
    <row r="909" spans="1:46" ht="16.3" thickBot="1" x14ac:dyDescent="0.35">
      <c r="A909" s="79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3299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80" t="s">
        <v>133</v>
      </c>
      <c r="AM909" s="81" t="s">
        <v>134</v>
      </c>
      <c r="AN909" s="81" t="s">
        <v>134</v>
      </c>
      <c r="AO909" s="81"/>
      <c r="AP909" s="81" t="s">
        <v>135</v>
      </c>
      <c r="AQ909" s="66"/>
      <c r="AR909" s="67"/>
      <c r="AS909" s="67"/>
      <c r="AT909" s="66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3339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3340</v>
      </c>
      <c r="L910" s="42" t="s">
        <v>3341</v>
      </c>
      <c r="M910" s="42" t="s">
        <v>54</v>
      </c>
      <c r="N910" s="42" t="s">
        <v>179</v>
      </c>
      <c r="O910" s="42" t="s">
        <v>180</v>
      </c>
      <c r="P910" s="42" t="s">
        <v>3342</v>
      </c>
      <c r="Q910" s="42" t="s">
        <v>83</v>
      </c>
      <c r="R910" s="42" t="s">
        <v>48</v>
      </c>
      <c r="S910" s="42" t="s">
        <v>3343</v>
      </c>
      <c r="T910" s="42" t="s">
        <v>85</v>
      </c>
      <c r="U910" s="42" t="s">
        <v>86</v>
      </c>
      <c r="V910" s="42" t="s">
        <v>48</v>
      </c>
      <c r="W910" s="42" t="s">
        <v>3344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3345</v>
      </c>
      <c r="AF910" s="42" t="s">
        <v>67</v>
      </c>
      <c r="AG910" s="42" t="s">
        <v>48</v>
      </c>
      <c r="AH910" s="42" t="s">
        <v>3346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3375</v>
      </c>
    </row>
    <row r="911" spans="1:46" ht="15.65" x14ac:dyDescent="0.3">
      <c r="A911" s="15">
        <v>46129</v>
      </c>
      <c r="B911" s="58" t="s">
        <v>44</v>
      </c>
      <c r="C911" s="59" t="s">
        <v>45</v>
      </c>
      <c r="D911" s="59" t="s">
        <v>46</v>
      </c>
      <c r="E911" s="60">
        <v>0</v>
      </c>
      <c r="F911" s="61" t="s">
        <v>2688</v>
      </c>
      <c r="G911" s="62" t="s">
        <v>48</v>
      </c>
      <c r="H911" s="63" t="s">
        <v>354</v>
      </c>
      <c r="I911" s="63" t="s">
        <v>97</v>
      </c>
      <c r="J911" s="63" t="s">
        <v>98</v>
      </c>
      <c r="K911" s="63" t="s">
        <v>3347</v>
      </c>
      <c r="L911" s="63" t="s">
        <v>3348</v>
      </c>
      <c r="M911" s="63" t="s">
        <v>54</v>
      </c>
      <c r="N911" s="63" t="s">
        <v>55</v>
      </c>
      <c r="O911" s="63" t="s">
        <v>1693</v>
      </c>
      <c r="P911" s="63" t="s">
        <v>2691</v>
      </c>
      <c r="Q911" s="63" t="s">
        <v>57</v>
      </c>
      <c r="R911" s="63" t="s">
        <v>48</v>
      </c>
      <c r="S911" s="63" t="s">
        <v>2692</v>
      </c>
      <c r="T911" s="63" t="s">
        <v>59</v>
      </c>
      <c r="U911" s="63" t="s">
        <v>359</v>
      </c>
      <c r="V911" s="63" t="s">
        <v>48</v>
      </c>
      <c r="W911" s="63" t="s">
        <v>2693</v>
      </c>
      <c r="X911" s="63" t="s">
        <v>106</v>
      </c>
      <c r="Y911" s="63" t="s">
        <v>61</v>
      </c>
      <c r="Z911" s="63" t="s">
        <v>107</v>
      </c>
      <c r="AA911" s="63" t="s">
        <v>63</v>
      </c>
      <c r="AB911" s="63" t="s">
        <v>64</v>
      </c>
      <c r="AC911" s="63" t="s">
        <v>476</v>
      </c>
      <c r="AD911" s="63" t="s">
        <v>44</v>
      </c>
      <c r="AE911" s="63" t="s">
        <v>2694</v>
      </c>
      <c r="AF911" s="63" t="s">
        <v>67</v>
      </c>
      <c r="AG911" s="63" t="s">
        <v>48</v>
      </c>
      <c r="AH911" s="63" t="s">
        <v>3349</v>
      </c>
      <c r="AI911" s="63" t="s">
        <v>48</v>
      </c>
      <c r="AJ911" s="63" t="s">
        <v>48</v>
      </c>
      <c r="AK911" s="63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8" t="s">
        <v>44</v>
      </c>
      <c r="C912" s="59" t="s">
        <v>45</v>
      </c>
      <c r="D912" s="59" t="s">
        <v>46</v>
      </c>
      <c r="E912" s="60">
        <v>0</v>
      </c>
      <c r="F912" s="61" t="s">
        <v>2696</v>
      </c>
      <c r="G912" s="62" t="s">
        <v>48</v>
      </c>
      <c r="H912" s="63" t="s">
        <v>254</v>
      </c>
      <c r="I912" s="63" t="s">
        <v>97</v>
      </c>
      <c r="J912" s="63" t="s">
        <v>98</v>
      </c>
      <c r="K912" s="63" t="s">
        <v>3347</v>
      </c>
      <c r="L912" s="63" t="s">
        <v>3348</v>
      </c>
      <c r="M912" s="63" t="s">
        <v>54</v>
      </c>
      <c r="N912" s="63" t="s">
        <v>55</v>
      </c>
      <c r="O912" s="63" t="s">
        <v>1693</v>
      </c>
      <c r="P912" s="63" t="s">
        <v>2691</v>
      </c>
      <c r="Q912" s="63" t="s">
        <v>57</v>
      </c>
      <c r="R912" s="63" t="s">
        <v>48</v>
      </c>
      <c r="S912" s="63" t="s">
        <v>2697</v>
      </c>
      <c r="T912" s="63" t="s">
        <v>59</v>
      </c>
      <c r="U912" s="63" t="s">
        <v>359</v>
      </c>
      <c r="V912" s="63" t="s">
        <v>48</v>
      </c>
      <c r="W912" s="63" t="s">
        <v>2693</v>
      </c>
      <c r="X912" s="63" t="s">
        <v>106</v>
      </c>
      <c r="Y912" s="63" t="s">
        <v>61</v>
      </c>
      <c r="Z912" s="63" t="s">
        <v>107</v>
      </c>
      <c r="AA912" s="63" t="s">
        <v>63</v>
      </c>
      <c r="AB912" s="63" t="s">
        <v>64</v>
      </c>
      <c r="AC912" s="63" t="s">
        <v>476</v>
      </c>
      <c r="AD912" s="63" t="s">
        <v>44</v>
      </c>
      <c r="AE912" s="63" t="s">
        <v>2694</v>
      </c>
      <c r="AF912" s="63" t="s">
        <v>67</v>
      </c>
      <c r="AG912" s="63" t="s">
        <v>48</v>
      </c>
      <c r="AH912" s="63" t="s">
        <v>3349</v>
      </c>
      <c r="AI912" s="63" t="s">
        <v>48</v>
      </c>
      <c r="AJ912" s="63" t="s">
        <v>48</v>
      </c>
      <c r="AK912" s="63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8" t="s">
        <v>44</v>
      </c>
      <c r="C913" s="59" t="s">
        <v>45</v>
      </c>
      <c r="D913" s="59" t="s">
        <v>46</v>
      </c>
      <c r="E913" s="60">
        <v>1</v>
      </c>
      <c r="F913" s="61" t="s">
        <v>3350</v>
      </c>
      <c r="G913" s="62" t="s">
        <v>48</v>
      </c>
      <c r="H913" s="63" t="s">
        <v>481</v>
      </c>
      <c r="I913" s="63" t="s">
        <v>97</v>
      </c>
      <c r="J913" s="63" t="s">
        <v>98</v>
      </c>
      <c r="K913" s="63" t="s">
        <v>3351</v>
      </c>
      <c r="L913" s="63" t="s">
        <v>3352</v>
      </c>
      <c r="M913" s="63" t="s">
        <v>54</v>
      </c>
      <c r="N913" s="63" t="s">
        <v>286</v>
      </c>
      <c r="O913" s="63" t="s">
        <v>3353</v>
      </c>
      <c r="P913" s="63" t="s">
        <v>3354</v>
      </c>
      <c r="Q913" s="63" t="s">
        <v>57</v>
      </c>
      <c r="R913" s="63" t="s">
        <v>48</v>
      </c>
      <c r="S913" s="63" t="s">
        <v>3355</v>
      </c>
      <c r="T913" s="63" t="s">
        <v>59</v>
      </c>
      <c r="U913" s="63" t="s">
        <v>338</v>
      </c>
      <c r="V913" s="63" t="s">
        <v>48</v>
      </c>
      <c r="W913" s="63" t="s">
        <v>3356</v>
      </c>
      <c r="X913" s="63" t="s">
        <v>986</v>
      </c>
      <c r="Y913" s="63" t="s">
        <v>61</v>
      </c>
      <c r="Z913" s="63" t="s">
        <v>107</v>
      </c>
      <c r="AA913" s="63" t="s">
        <v>63</v>
      </c>
      <c r="AB913" s="63" t="s">
        <v>64</v>
      </c>
      <c r="AC913" s="63" t="s">
        <v>476</v>
      </c>
      <c r="AD913" s="63" t="s">
        <v>44</v>
      </c>
      <c r="AE913" s="63" t="s">
        <v>3357</v>
      </c>
      <c r="AF913" s="63" t="s">
        <v>67</v>
      </c>
      <c r="AG913" s="63" t="s">
        <v>48</v>
      </c>
      <c r="AH913" s="63" t="s">
        <v>3358</v>
      </c>
      <c r="AI913" s="63" t="s">
        <v>48</v>
      </c>
      <c r="AJ913" s="63" t="s">
        <v>48</v>
      </c>
      <c r="AK913" s="63" t="s">
        <v>48</v>
      </c>
      <c r="AL913" s="64" t="s">
        <v>69</v>
      </c>
      <c r="AM913" s="64" t="s">
        <v>48</v>
      </c>
      <c r="AN913" s="64"/>
      <c r="AO913" s="64" t="s">
        <v>48</v>
      </c>
      <c r="AP913" s="64" t="s">
        <v>3374</v>
      </c>
    </row>
    <row r="914" spans="1:46" ht="15.65" x14ac:dyDescent="0.3">
      <c r="A914" s="15">
        <v>46129</v>
      </c>
      <c r="B914" s="58" t="s">
        <v>44</v>
      </c>
      <c r="C914" s="59" t="s">
        <v>45</v>
      </c>
      <c r="D914" s="59" t="s">
        <v>46</v>
      </c>
      <c r="E914" s="60">
        <v>1</v>
      </c>
      <c r="F914" s="61" t="s">
        <v>3284</v>
      </c>
      <c r="G914" s="62" t="s">
        <v>48</v>
      </c>
      <c r="H914" s="63" t="s">
        <v>735</v>
      </c>
      <c r="I914" s="63" t="s">
        <v>97</v>
      </c>
      <c r="J914" s="63" t="s">
        <v>98</v>
      </c>
      <c r="K914" s="63" t="s">
        <v>3359</v>
      </c>
      <c r="L914" s="63" t="s">
        <v>3360</v>
      </c>
      <c r="M914" s="63" t="s">
        <v>54</v>
      </c>
      <c r="N914" s="63" t="s">
        <v>607</v>
      </c>
      <c r="O914" s="63" t="s">
        <v>2194</v>
      </c>
      <c r="P914" s="63" t="s">
        <v>3287</v>
      </c>
      <c r="Q914" s="63" t="s">
        <v>57</v>
      </c>
      <c r="R914" s="63" t="s">
        <v>48</v>
      </c>
      <c r="S914" s="63" t="s">
        <v>3361</v>
      </c>
      <c r="T914" s="63" t="s">
        <v>59</v>
      </c>
      <c r="U914" s="63" t="s">
        <v>332</v>
      </c>
      <c r="V914" s="63" t="s">
        <v>48</v>
      </c>
      <c r="W914" s="63" t="s">
        <v>3289</v>
      </c>
      <c r="X914" s="63" t="s">
        <v>291</v>
      </c>
      <c r="Y914" s="63" t="s">
        <v>61</v>
      </c>
      <c r="Z914" s="63" t="s">
        <v>107</v>
      </c>
      <c r="AA914" s="63" t="s">
        <v>63</v>
      </c>
      <c r="AB914" s="63" t="s">
        <v>64</v>
      </c>
      <c r="AC914" s="63" t="s">
        <v>476</v>
      </c>
      <c r="AD914" s="63" t="s">
        <v>44</v>
      </c>
      <c r="AE914" s="63" t="s">
        <v>3290</v>
      </c>
      <c r="AF914" s="63" t="s">
        <v>67</v>
      </c>
      <c r="AG914" s="63" t="s">
        <v>48</v>
      </c>
      <c r="AH914" s="63" t="s">
        <v>3362</v>
      </c>
      <c r="AI914" s="63" t="s">
        <v>48</v>
      </c>
      <c r="AJ914" s="63" t="s">
        <v>48</v>
      </c>
      <c r="AK914" s="63" t="s">
        <v>48</v>
      </c>
      <c r="AL914" s="64" t="s">
        <v>172</v>
      </c>
      <c r="AM914" s="64" t="s">
        <v>48</v>
      </c>
      <c r="AN914" s="64"/>
      <c r="AO914" s="64" t="s">
        <v>48</v>
      </c>
      <c r="AP914" s="64" t="s">
        <v>676</v>
      </c>
    </row>
    <row r="915" spans="1:46" ht="15.65" x14ac:dyDescent="0.3">
      <c r="A915" s="15">
        <v>46129</v>
      </c>
      <c r="B915" s="58" t="s">
        <v>44</v>
      </c>
      <c r="C915" s="59" t="s">
        <v>45</v>
      </c>
      <c r="D915" s="59" t="s">
        <v>46</v>
      </c>
      <c r="E915" s="60">
        <v>3</v>
      </c>
      <c r="F915" s="61" t="s">
        <v>3136</v>
      </c>
      <c r="G915" s="62" t="s">
        <v>48</v>
      </c>
      <c r="H915" s="65" t="s">
        <v>407</v>
      </c>
      <c r="I915" s="65" t="s">
        <v>97</v>
      </c>
      <c r="J915" s="65" t="s">
        <v>98</v>
      </c>
      <c r="K915" s="65" t="s">
        <v>3137</v>
      </c>
      <c r="L915" s="65" t="s">
        <v>3363</v>
      </c>
      <c r="M915" s="65" t="s">
        <v>54</v>
      </c>
      <c r="N915" s="65" t="s">
        <v>350</v>
      </c>
      <c r="O915" s="65" t="s">
        <v>971</v>
      </c>
      <c r="P915" s="65" t="s">
        <v>3139</v>
      </c>
      <c r="Q915" s="65" t="s">
        <v>57</v>
      </c>
      <c r="R915" s="65" t="s">
        <v>48</v>
      </c>
      <c r="S915" s="65" t="s">
        <v>3140</v>
      </c>
      <c r="T915" s="65" t="s">
        <v>59</v>
      </c>
      <c r="U915" s="65" t="s">
        <v>195</v>
      </c>
      <c r="V915" s="65" t="s">
        <v>48</v>
      </c>
      <c r="W915" s="65" t="s">
        <v>3141</v>
      </c>
      <c r="X915" s="65" t="s">
        <v>143</v>
      </c>
      <c r="Y915" s="65" t="s">
        <v>61</v>
      </c>
      <c r="Z915" s="65" t="s">
        <v>107</v>
      </c>
      <c r="AA915" s="65" t="s">
        <v>63</v>
      </c>
      <c r="AB915" s="65" t="s">
        <v>64</v>
      </c>
      <c r="AC915" s="65" t="s">
        <v>476</v>
      </c>
      <c r="AD915" s="65" t="s">
        <v>44</v>
      </c>
      <c r="AE915" s="65" t="s">
        <v>3139</v>
      </c>
      <c r="AF915" s="65" t="s">
        <v>67</v>
      </c>
      <c r="AG915" s="65" t="s">
        <v>48</v>
      </c>
      <c r="AH915" s="65" t="s">
        <v>3142</v>
      </c>
      <c r="AI915" s="65" t="s">
        <v>48</v>
      </c>
      <c r="AJ915" s="65" t="s">
        <v>48</v>
      </c>
      <c r="AK915" s="65" t="s">
        <v>48</v>
      </c>
      <c r="AL915" s="64" t="s">
        <v>3370</v>
      </c>
      <c r="AM915" s="64"/>
      <c r="AN915" s="64"/>
      <c r="AO915" s="64"/>
      <c r="AP915" s="64" t="s">
        <v>3371</v>
      </c>
    </row>
    <row r="916" spans="1:46" ht="15.65" x14ac:dyDescent="0.3">
      <c r="A916" s="15">
        <v>46129</v>
      </c>
      <c r="B916" s="58" t="s">
        <v>44</v>
      </c>
      <c r="C916" s="59" t="s">
        <v>72</v>
      </c>
      <c r="D916" s="59" t="s">
        <v>46</v>
      </c>
      <c r="E916" s="60">
        <v>3</v>
      </c>
      <c r="F916" s="61" t="s">
        <v>3143</v>
      </c>
      <c r="G916" s="62" t="s">
        <v>74</v>
      </c>
      <c r="H916" s="65" t="s">
        <v>2106</v>
      </c>
      <c r="I916" s="65" t="s">
        <v>76</v>
      </c>
      <c r="J916" s="65" t="s">
        <v>77</v>
      </c>
      <c r="K916" s="65" t="s">
        <v>3144</v>
      </c>
      <c r="L916" s="65" t="s">
        <v>3364</v>
      </c>
      <c r="M916" s="65" t="s">
        <v>54</v>
      </c>
      <c r="N916" s="65" t="s">
        <v>350</v>
      </c>
      <c r="O916" s="65" t="s">
        <v>971</v>
      </c>
      <c r="P916" s="65" t="s">
        <v>3146</v>
      </c>
      <c r="Q916" s="65" t="s">
        <v>83</v>
      </c>
      <c r="R916" s="65" t="s">
        <v>48</v>
      </c>
      <c r="S916" s="65" t="s">
        <v>3147</v>
      </c>
      <c r="T916" s="65" t="s">
        <v>85</v>
      </c>
      <c r="U916" s="65" t="s">
        <v>354</v>
      </c>
      <c r="V916" s="65" t="s">
        <v>48</v>
      </c>
      <c r="W916" s="65" t="s">
        <v>3148</v>
      </c>
      <c r="X916" s="65" t="s">
        <v>128</v>
      </c>
      <c r="Y916" s="65" t="s">
        <v>89</v>
      </c>
      <c r="Z916" s="65" t="s">
        <v>90</v>
      </c>
      <c r="AA916" s="65" t="s">
        <v>63</v>
      </c>
      <c r="AB916" s="65" t="s">
        <v>64</v>
      </c>
      <c r="AC916" s="65" t="s">
        <v>476</v>
      </c>
      <c r="AD916" s="65" t="s">
        <v>44</v>
      </c>
      <c r="AE916" s="65" t="s">
        <v>3139</v>
      </c>
      <c r="AF916" s="65" t="s">
        <v>67</v>
      </c>
      <c r="AG916" s="65" t="s">
        <v>48</v>
      </c>
      <c r="AH916" s="65" t="s">
        <v>3149</v>
      </c>
      <c r="AI916" s="65" t="s">
        <v>48</v>
      </c>
      <c r="AJ916" s="65" t="s">
        <v>48</v>
      </c>
      <c r="AK916" s="65" t="s">
        <v>48</v>
      </c>
      <c r="AL916" s="64" t="s">
        <v>3370</v>
      </c>
      <c r="AM916" s="64"/>
      <c r="AN916" s="64"/>
      <c r="AO916" s="64"/>
      <c r="AP916" s="64" t="s">
        <v>3371</v>
      </c>
    </row>
    <row r="917" spans="1:46" ht="15.65" x14ac:dyDescent="0.3">
      <c r="A917" s="15">
        <v>46129</v>
      </c>
      <c r="B917" s="58" t="s">
        <v>44</v>
      </c>
      <c r="C917" s="59" t="s">
        <v>72</v>
      </c>
      <c r="D917" s="59" t="s">
        <v>46</v>
      </c>
      <c r="E917" s="60">
        <v>3</v>
      </c>
      <c r="F917" s="61" t="s">
        <v>3150</v>
      </c>
      <c r="G917" s="62" t="s">
        <v>74</v>
      </c>
      <c r="H917" s="65" t="s">
        <v>113</v>
      </c>
      <c r="I917" s="65" t="s">
        <v>76</v>
      </c>
      <c r="J917" s="65" t="s">
        <v>77</v>
      </c>
      <c r="K917" s="65" t="s">
        <v>3151</v>
      </c>
      <c r="L917" s="65" t="s">
        <v>3365</v>
      </c>
      <c r="M917" s="65" t="s">
        <v>54</v>
      </c>
      <c r="N917" s="65" t="s">
        <v>350</v>
      </c>
      <c r="O917" s="65" t="s">
        <v>971</v>
      </c>
      <c r="P917" s="65" t="s">
        <v>3153</v>
      </c>
      <c r="Q917" s="65" t="s">
        <v>83</v>
      </c>
      <c r="R917" s="65" t="s">
        <v>48</v>
      </c>
      <c r="S917" s="65" t="s">
        <v>3154</v>
      </c>
      <c r="T917" s="65" t="s">
        <v>85</v>
      </c>
      <c r="U917" s="65" t="s">
        <v>354</v>
      </c>
      <c r="V917" s="65" t="s">
        <v>48</v>
      </c>
      <c r="W917" s="65" t="s">
        <v>3148</v>
      </c>
      <c r="X917" s="65" t="s">
        <v>128</v>
      </c>
      <c r="Y917" s="65" t="s">
        <v>89</v>
      </c>
      <c r="Z917" s="65" t="s">
        <v>90</v>
      </c>
      <c r="AA917" s="65" t="s">
        <v>63</v>
      </c>
      <c r="AB917" s="65" t="s">
        <v>64</v>
      </c>
      <c r="AC917" s="65" t="s">
        <v>476</v>
      </c>
      <c r="AD917" s="65" t="s">
        <v>44</v>
      </c>
      <c r="AE917" s="65" t="s">
        <v>3139</v>
      </c>
      <c r="AF917" s="65" t="s">
        <v>67</v>
      </c>
      <c r="AG917" s="65" t="s">
        <v>48</v>
      </c>
      <c r="AH917" s="65" t="s">
        <v>3155</v>
      </c>
      <c r="AI917" s="65" t="s">
        <v>48</v>
      </c>
      <c r="AJ917" s="65" t="s">
        <v>48</v>
      </c>
      <c r="AK917" s="65" t="s">
        <v>48</v>
      </c>
      <c r="AL917" s="64" t="s">
        <v>3370</v>
      </c>
      <c r="AM917" s="64"/>
      <c r="AN917" s="64"/>
      <c r="AO917" s="64"/>
      <c r="AP917" s="64" t="s">
        <v>3371</v>
      </c>
    </row>
    <row r="918" spans="1:46" ht="15.65" x14ac:dyDescent="0.3">
      <c r="A918" s="15">
        <v>46129</v>
      </c>
      <c r="B918" s="58" t="s">
        <v>44</v>
      </c>
      <c r="C918" s="59" t="s">
        <v>72</v>
      </c>
      <c r="D918" s="59" t="s">
        <v>46</v>
      </c>
      <c r="E918" s="60">
        <v>4</v>
      </c>
      <c r="F918" s="61" t="s">
        <v>3021</v>
      </c>
      <c r="G918" s="62" t="s">
        <v>48</v>
      </c>
      <c r="H918" s="65" t="s">
        <v>754</v>
      </c>
      <c r="I918" s="65" t="s">
        <v>76</v>
      </c>
      <c r="J918" s="65" t="s">
        <v>77</v>
      </c>
      <c r="K918" s="65" t="s">
        <v>3106</v>
      </c>
      <c r="L918" s="65" t="s">
        <v>3366</v>
      </c>
      <c r="M918" s="65" t="s">
        <v>54</v>
      </c>
      <c r="N918" s="65" t="s">
        <v>350</v>
      </c>
      <c r="O918" s="65" t="s">
        <v>3024</v>
      </c>
      <c r="P918" s="65" t="s">
        <v>3025</v>
      </c>
      <c r="Q918" s="65" t="s">
        <v>83</v>
      </c>
      <c r="R918" s="65" t="s">
        <v>48</v>
      </c>
      <c r="S918" s="65" t="s">
        <v>3108</v>
      </c>
      <c r="T918" s="65" t="s">
        <v>85</v>
      </c>
      <c r="U918" s="65" t="s">
        <v>206</v>
      </c>
      <c r="V918" s="65" t="s">
        <v>48</v>
      </c>
      <c r="W918" s="65" t="s">
        <v>3027</v>
      </c>
      <c r="X918" s="65" t="s">
        <v>130</v>
      </c>
      <c r="Y918" s="65" t="s">
        <v>89</v>
      </c>
      <c r="Z918" s="65" t="s">
        <v>90</v>
      </c>
      <c r="AA918" s="65" t="s">
        <v>63</v>
      </c>
      <c r="AB918" s="65" t="s">
        <v>64</v>
      </c>
      <c r="AC918" s="65" t="s">
        <v>476</v>
      </c>
      <c r="AD918" s="65" t="s">
        <v>44</v>
      </c>
      <c r="AE918" s="65" t="s">
        <v>3028</v>
      </c>
      <c r="AF918" s="65" t="s">
        <v>67</v>
      </c>
      <c r="AG918" s="65" t="s">
        <v>48</v>
      </c>
      <c r="AH918" s="65" t="s">
        <v>3109</v>
      </c>
      <c r="AI918" s="65" t="s">
        <v>48</v>
      </c>
      <c r="AJ918" s="65" t="s">
        <v>48</v>
      </c>
      <c r="AK918" s="65" t="s">
        <v>48</v>
      </c>
      <c r="AL918" s="64" t="s">
        <v>133</v>
      </c>
      <c r="AM918" s="64" t="s">
        <v>134</v>
      </c>
      <c r="AN918" s="64"/>
      <c r="AO918" s="64"/>
      <c r="AP918" s="64" t="s">
        <v>135</v>
      </c>
    </row>
    <row r="919" spans="1:46" ht="15.65" x14ac:dyDescent="0.3">
      <c r="A919" s="15">
        <v>46129</v>
      </c>
      <c r="B919" s="58" t="s">
        <v>44</v>
      </c>
      <c r="C919" s="59" t="s">
        <v>72</v>
      </c>
      <c r="D919" s="59" t="s">
        <v>46</v>
      </c>
      <c r="E919" s="60">
        <v>4</v>
      </c>
      <c r="F919" s="61" t="s">
        <v>3110</v>
      </c>
      <c r="G919" s="62" t="s">
        <v>48</v>
      </c>
      <c r="H919" s="65" t="s">
        <v>122</v>
      </c>
      <c r="I919" s="65" t="s">
        <v>76</v>
      </c>
      <c r="J919" s="65" t="s">
        <v>77</v>
      </c>
      <c r="K919" s="65" t="s">
        <v>3111</v>
      </c>
      <c r="L919" s="65" t="s">
        <v>3367</v>
      </c>
      <c r="M919" s="65" t="s">
        <v>54</v>
      </c>
      <c r="N919" s="65" t="s">
        <v>350</v>
      </c>
      <c r="O919" s="65" t="s">
        <v>1065</v>
      </c>
      <c r="P919" s="65" t="s">
        <v>3113</v>
      </c>
      <c r="Q919" s="65" t="s">
        <v>83</v>
      </c>
      <c r="R919" s="65" t="s">
        <v>48</v>
      </c>
      <c r="S919" s="65" t="s">
        <v>3114</v>
      </c>
      <c r="T919" s="65" t="s">
        <v>85</v>
      </c>
      <c r="U919" s="65" t="s">
        <v>206</v>
      </c>
      <c r="V919" s="65" t="s">
        <v>48</v>
      </c>
      <c r="W919" s="65" t="s">
        <v>3115</v>
      </c>
      <c r="X919" s="65" t="s">
        <v>86</v>
      </c>
      <c r="Y919" s="65" t="s">
        <v>89</v>
      </c>
      <c r="Z919" s="65" t="s">
        <v>90</v>
      </c>
      <c r="AA919" s="65" t="s">
        <v>63</v>
      </c>
      <c r="AB919" s="65" t="s">
        <v>64</v>
      </c>
      <c r="AC919" s="65" t="s">
        <v>476</v>
      </c>
      <c r="AD919" s="65" t="s">
        <v>44</v>
      </c>
      <c r="AE919" s="65" t="s">
        <v>3116</v>
      </c>
      <c r="AF919" s="65" t="s">
        <v>67</v>
      </c>
      <c r="AG919" s="65" t="s">
        <v>48</v>
      </c>
      <c r="AH919" s="65" t="s">
        <v>3117</v>
      </c>
      <c r="AI919" s="65" t="s">
        <v>48</v>
      </c>
      <c r="AJ919" s="65" t="s">
        <v>48</v>
      </c>
      <c r="AK919" s="65" t="s">
        <v>48</v>
      </c>
      <c r="AL919" s="64" t="s">
        <v>172</v>
      </c>
      <c r="AM919" s="64" t="s">
        <v>1210</v>
      </c>
      <c r="AN919" s="64"/>
      <c r="AO919" s="64" t="s">
        <v>48</v>
      </c>
      <c r="AP919" s="64" t="s">
        <v>1216</v>
      </c>
    </row>
    <row r="920" spans="1:46" ht="15.65" x14ac:dyDescent="0.3">
      <c r="A920" s="102">
        <v>46129</v>
      </c>
      <c r="B920" s="58" t="s">
        <v>44</v>
      </c>
      <c r="C920" s="59" t="s">
        <v>72</v>
      </c>
      <c r="D920" s="59" t="s">
        <v>46</v>
      </c>
      <c r="E920" s="60">
        <v>7</v>
      </c>
      <c r="F920" s="61" t="s">
        <v>3043</v>
      </c>
      <c r="G920" s="62" t="s">
        <v>74</v>
      </c>
      <c r="H920" s="65" t="s">
        <v>671</v>
      </c>
      <c r="I920" s="65" t="s">
        <v>76</v>
      </c>
      <c r="J920" s="65" t="s">
        <v>77</v>
      </c>
      <c r="K920" s="65" t="s">
        <v>3044</v>
      </c>
      <c r="L920" s="65" t="s">
        <v>3368</v>
      </c>
      <c r="M920" s="65" t="s">
        <v>54</v>
      </c>
      <c r="N920" s="65" t="s">
        <v>202</v>
      </c>
      <c r="O920" s="65" t="s">
        <v>3046</v>
      </c>
      <c r="P920" s="65" t="s">
        <v>3047</v>
      </c>
      <c r="Q920" s="65" t="s">
        <v>83</v>
      </c>
      <c r="R920" s="65" t="s">
        <v>48</v>
      </c>
      <c r="S920" s="65" t="s">
        <v>3048</v>
      </c>
      <c r="T920" s="65" t="s">
        <v>85</v>
      </c>
      <c r="U920" s="65" t="s">
        <v>308</v>
      </c>
      <c r="V920" s="65" t="s">
        <v>48</v>
      </c>
      <c r="W920" s="65" t="s">
        <v>3049</v>
      </c>
      <c r="X920" s="65" t="s">
        <v>254</v>
      </c>
      <c r="Y920" s="65" t="s">
        <v>89</v>
      </c>
      <c r="Z920" s="65" t="s">
        <v>90</v>
      </c>
      <c r="AA920" s="65" t="s">
        <v>63</v>
      </c>
      <c r="AB920" s="65" t="s">
        <v>64</v>
      </c>
      <c r="AC920" s="65" t="s">
        <v>476</v>
      </c>
      <c r="AD920" s="65" t="s">
        <v>44</v>
      </c>
      <c r="AE920" s="65" t="s">
        <v>3050</v>
      </c>
      <c r="AF920" s="65" t="s">
        <v>67</v>
      </c>
      <c r="AG920" s="65" t="s">
        <v>48</v>
      </c>
      <c r="AH920" s="65" t="s">
        <v>3051</v>
      </c>
      <c r="AI920" s="65" t="s">
        <v>48</v>
      </c>
      <c r="AJ920" s="65" t="s">
        <v>48</v>
      </c>
      <c r="AK920" s="65" t="s">
        <v>48</v>
      </c>
      <c r="AL920" s="64" t="s">
        <v>172</v>
      </c>
      <c r="AM920" s="64" t="s">
        <v>134</v>
      </c>
      <c r="AN920" s="64"/>
      <c r="AO920" s="64"/>
      <c r="AP920" s="64" t="s">
        <v>135</v>
      </c>
      <c r="AQ920" s="106"/>
      <c r="AR920" s="107"/>
      <c r="AS920" s="107"/>
      <c r="AT920" s="106"/>
    </row>
    <row r="921" spans="1:46" ht="16.3" thickBot="1" x14ac:dyDescent="0.35">
      <c r="A921" s="79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3369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08"/>
      <c r="AR921" s="109"/>
      <c r="AS921" s="109"/>
      <c r="AT921" s="108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3376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3377</v>
      </c>
      <c r="L922" s="42" t="s">
        <v>3378</v>
      </c>
      <c r="M922" s="42" t="s">
        <v>54</v>
      </c>
      <c r="N922" s="42" t="s">
        <v>55</v>
      </c>
      <c r="O922" s="42" t="s">
        <v>2471</v>
      </c>
      <c r="P922" s="42" t="s">
        <v>3379</v>
      </c>
      <c r="Q922" s="42" t="s">
        <v>83</v>
      </c>
      <c r="R922" s="42" t="s">
        <v>48</v>
      </c>
      <c r="S922" s="42" t="s">
        <v>3380</v>
      </c>
      <c r="T922" s="42" t="s">
        <v>85</v>
      </c>
      <c r="U922" s="42" t="s">
        <v>335</v>
      </c>
      <c r="V922" s="42" t="s">
        <v>48</v>
      </c>
      <c r="W922" s="42" t="s">
        <v>3381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3382</v>
      </c>
      <c r="AF922" s="42" t="s">
        <v>67</v>
      </c>
      <c r="AG922" s="42" t="s">
        <v>48</v>
      </c>
      <c r="AH922" s="42" t="s">
        <v>3383</v>
      </c>
      <c r="AI922" s="42" t="s">
        <v>48</v>
      </c>
      <c r="AJ922" s="42" t="s">
        <v>48</v>
      </c>
      <c r="AK922" s="42" t="s">
        <v>48</v>
      </c>
      <c r="AL922" s="75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8" t="s">
        <v>44</v>
      </c>
      <c r="C923" s="59" t="s">
        <v>45</v>
      </c>
      <c r="D923" s="59" t="s">
        <v>46</v>
      </c>
      <c r="E923" s="60">
        <v>0</v>
      </c>
      <c r="F923" s="61" t="s">
        <v>3384</v>
      </c>
      <c r="G923" s="62" t="s">
        <v>48</v>
      </c>
      <c r="H923" s="63" t="s">
        <v>130</v>
      </c>
      <c r="I923" s="63" t="s">
        <v>97</v>
      </c>
      <c r="J923" s="63" t="s">
        <v>98</v>
      </c>
      <c r="K923" s="63" t="s">
        <v>3385</v>
      </c>
      <c r="L923" s="63" t="s">
        <v>3386</v>
      </c>
      <c r="M923" s="63" t="s">
        <v>54</v>
      </c>
      <c r="N923" s="63" t="s">
        <v>55</v>
      </c>
      <c r="O923" s="63" t="s">
        <v>2471</v>
      </c>
      <c r="P923" s="63" t="s">
        <v>3387</v>
      </c>
      <c r="Q923" s="63" t="s">
        <v>57</v>
      </c>
      <c r="R923" s="63" t="s">
        <v>48</v>
      </c>
      <c r="S923" s="63" t="s">
        <v>3388</v>
      </c>
      <c r="T923" s="63" t="s">
        <v>59</v>
      </c>
      <c r="U923" s="63" t="s">
        <v>1543</v>
      </c>
      <c r="V923" s="63" t="s">
        <v>48</v>
      </c>
      <c r="W923" s="63" t="s">
        <v>3389</v>
      </c>
      <c r="X923" s="63" t="s">
        <v>106</v>
      </c>
      <c r="Y923" s="63" t="s">
        <v>61</v>
      </c>
      <c r="Z923" s="63" t="s">
        <v>62</v>
      </c>
      <c r="AA923" s="63" t="s">
        <v>63</v>
      </c>
      <c r="AB923" s="63" t="s">
        <v>64</v>
      </c>
      <c r="AC923" s="63" t="s">
        <v>476</v>
      </c>
      <c r="AD923" s="63" t="s">
        <v>44</v>
      </c>
      <c r="AE923" s="63" t="s">
        <v>3387</v>
      </c>
      <c r="AF923" s="63" t="s">
        <v>67</v>
      </c>
      <c r="AG923" s="63" t="s">
        <v>48</v>
      </c>
      <c r="AH923" s="63" t="s">
        <v>3390</v>
      </c>
      <c r="AI923" s="63" t="s">
        <v>48</v>
      </c>
      <c r="AJ923" s="63" t="s">
        <v>48</v>
      </c>
      <c r="AK923" s="63" t="s">
        <v>48</v>
      </c>
      <c r="AL923" s="75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8" t="s">
        <v>44</v>
      </c>
      <c r="C924" s="59" t="s">
        <v>45</v>
      </c>
      <c r="D924" s="59" t="s">
        <v>46</v>
      </c>
      <c r="E924" s="60">
        <v>0</v>
      </c>
      <c r="F924" s="61" t="s">
        <v>3391</v>
      </c>
      <c r="G924" s="62" t="s">
        <v>48</v>
      </c>
      <c r="H924" s="63" t="s">
        <v>354</v>
      </c>
      <c r="I924" s="63" t="s">
        <v>97</v>
      </c>
      <c r="J924" s="63" t="s">
        <v>98</v>
      </c>
      <c r="K924" s="63" t="s">
        <v>3385</v>
      </c>
      <c r="L924" s="63" t="s">
        <v>3386</v>
      </c>
      <c r="M924" s="63" t="s">
        <v>54</v>
      </c>
      <c r="N924" s="63" t="s">
        <v>55</v>
      </c>
      <c r="O924" s="63" t="s">
        <v>2471</v>
      </c>
      <c r="P924" s="63" t="s">
        <v>3387</v>
      </c>
      <c r="Q924" s="63" t="s">
        <v>57</v>
      </c>
      <c r="R924" s="63" t="s">
        <v>48</v>
      </c>
      <c r="S924" s="63" t="s">
        <v>3392</v>
      </c>
      <c r="T924" s="63" t="s">
        <v>59</v>
      </c>
      <c r="U924" s="63" t="s">
        <v>1543</v>
      </c>
      <c r="V924" s="63" t="s">
        <v>48</v>
      </c>
      <c r="W924" s="63" t="s">
        <v>3389</v>
      </c>
      <c r="X924" s="63" t="s">
        <v>106</v>
      </c>
      <c r="Y924" s="63" t="s">
        <v>61</v>
      </c>
      <c r="Z924" s="63" t="s">
        <v>62</v>
      </c>
      <c r="AA924" s="63" t="s">
        <v>63</v>
      </c>
      <c r="AB924" s="63" t="s">
        <v>64</v>
      </c>
      <c r="AC924" s="63" t="s">
        <v>476</v>
      </c>
      <c r="AD924" s="63" t="s">
        <v>44</v>
      </c>
      <c r="AE924" s="63" t="s">
        <v>3387</v>
      </c>
      <c r="AF924" s="63" t="s">
        <v>67</v>
      </c>
      <c r="AG924" s="63" t="s">
        <v>48</v>
      </c>
      <c r="AH924" s="63" t="s">
        <v>3390</v>
      </c>
      <c r="AI924" s="63" t="s">
        <v>48</v>
      </c>
      <c r="AJ924" s="63" t="s">
        <v>48</v>
      </c>
      <c r="AK924" s="63" t="s">
        <v>48</v>
      </c>
      <c r="AL924" s="75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8" t="s">
        <v>44</v>
      </c>
      <c r="C925" s="59" t="s">
        <v>45</v>
      </c>
      <c r="D925" s="59" t="s">
        <v>46</v>
      </c>
      <c r="E925" s="60">
        <v>1</v>
      </c>
      <c r="F925" s="61" t="s">
        <v>3393</v>
      </c>
      <c r="G925" s="62" t="s">
        <v>48</v>
      </c>
      <c r="H925" s="63" t="s">
        <v>359</v>
      </c>
      <c r="I925" s="63" t="s">
        <v>97</v>
      </c>
      <c r="J925" s="63" t="s">
        <v>98</v>
      </c>
      <c r="K925" s="63" t="s">
        <v>3394</v>
      </c>
      <c r="L925" s="63" t="s">
        <v>3395</v>
      </c>
      <c r="M925" s="63" t="s">
        <v>54</v>
      </c>
      <c r="N925" s="63" t="s">
        <v>55</v>
      </c>
      <c r="O925" s="63" t="s">
        <v>2471</v>
      </c>
      <c r="P925" s="63" t="s">
        <v>3396</v>
      </c>
      <c r="Q925" s="63" t="s">
        <v>57</v>
      </c>
      <c r="R925" s="63" t="s">
        <v>48</v>
      </c>
      <c r="S925" s="63" t="s">
        <v>3397</v>
      </c>
      <c r="T925" s="63" t="s">
        <v>59</v>
      </c>
      <c r="U925" s="63" t="s">
        <v>481</v>
      </c>
      <c r="V925" s="63" t="s">
        <v>48</v>
      </c>
      <c r="W925" s="63" t="s">
        <v>3398</v>
      </c>
      <c r="X925" s="63" t="s">
        <v>291</v>
      </c>
      <c r="Y925" s="63" t="s">
        <v>61</v>
      </c>
      <c r="Z925" s="63" t="s">
        <v>62</v>
      </c>
      <c r="AA925" s="63" t="s">
        <v>63</v>
      </c>
      <c r="AB925" s="63" t="s">
        <v>64</v>
      </c>
      <c r="AC925" s="63" t="s">
        <v>476</v>
      </c>
      <c r="AD925" s="63" t="s">
        <v>44</v>
      </c>
      <c r="AE925" s="63" t="s">
        <v>3399</v>
      </c>
      <c r="AF925" s="63" t="s">
        <v>67</v>
      </c>
      <c r="AG925" s="63" t="s">
        <v>48</v>
      </c>
      <c r="AH925" s="63" t="s">
        <v>3400</v>
      </c>
      <c r="AI925" s="63" t="s">
        <v>48</v>
      </c>
      <c r="AJ925" s="63" t="s">
        <v>48</v>
      </c>
      <c r="AK925" s="63" t="s">
        <v>48</v>
      </c>
      <c r="AL925" s="64" t="s">
        <v>48</v>
      </c>
      <c r="AM925" s="64" t="s">
        <v>48</v>
      </c>
      <c r="AN925" s="64"/>
      <c r="AO925" s="64" t="s">
        <v>48</v>
      </c>
      <c r="AP925" s="64" t="s">
        <v>48</v>
      </c>
    </row>
    <row r="926" spans="1:46" ht="15.65" x14ac:dyDescent="0.3">
      <c r="A926" s="15">
        <v>46132</v>
      </c>
      <c r="B926" s="58" t="s">
        <v>44</v>
      </c>
      <c r="C926" s="59" t="s">
        <v>45</v>
      </c>
      <c r="D926" s="59" t="s">
        <v>46</v>
      </c>
      <c r="E926" s="60">
        <v>1</v>
      </c>
      <c r="F926" s="61" t="s">
        <v>3401</v>
      </c>
      <c r="G926" s="62" t="s">
        <v>48</v>
      </c>
      <c r="H926" s="63" t="s">
        <v>775</v>
      </c>
      <c r="I926" s="63" t="s">
        <v>97</v>
      </c>
      <c r="J926" s="63" t="s">
        <v>98</v>
      </c>
      <c r="K926" s="63" t="s">
        <v>3394</v>
      </c>
      <c r="L926" s="63" t="s">
        <v>3395</v>
      </c>
      <c r="M926" s="63" t="s">
        <v>54</v>
      </c>
      <c r="N926" s="63" t="s">
        <v>55</v>
      </c>
      <c r="O926" s="63" t="s">
        <v>2471</v>
      </c>
      <c r="P926" s="63" t="s">
        <v>3396</v>
      </c>
      <c r="Q926" s="63" t="s">
        <v>57</v>
      </c>
      <c r="R926" s="63" t="s">
        <v>48</v>
      </c>
      <c r="S926" s="63" t="s">
        <v>3402</v>
      </c>
      <c r="T926" s="63" t="s">
        <v>59</v>
      </c>
      <c r="U926" s="63" t="s">
        <v>481</v>
      </c>
      <c r="V926" s="63" t="s">
        <v>48</v>
      </c>
      <c r="W926" s="63" t="s">
        <v>3398</v>
      </c>
      <c r="X926" s="63" t="s">
        <v>291</v>
      </c>
      <c r="Y926" s="63" t="s">
        <v>61</v>
      </c>
      <c r="Z926" s="63" t="s">
        <v>62</v>
      </c>
      <c r="AA926" s="63" t="s">
        <v>63</v>
      </c>
      <c r="AB926" s="63" t="s">
        <v>64</v>
      </c>
      <c r="AC926" s="63" t="s">
        <v>476</v>
      </c>
      <c r="AD926" s="63" t="s">
        <v>44</v>
      </c>
      <c r="AE926" s="63" t="s">
        <v>3399</v>
      </c>
      <c r="AF926" s="63" t="s">
        <v>67</v>
      </c>
      <c r="AG926" s="63" t="s">
        <v>48</v>
      </c>
      <c r="AH926" s="63" t="s">
        <v>3400</v>
      </c>
      <c r="AI926" s="63" t="s">
        <v>48</v>
      </c>
      <c r="AJ926" s="63" t="s">
        <v>48</v>
      </c>
      <c r="AK926" s="63" t="s">
        <v>48</v>
      </c>
      <c r="AL926" s="64" t="s">
        <v>48</v>
      </c>
      <c r="AM926" s="64" t="s">
        <v>48</v>
      </c>
      <c r="AN926" s="64"/>
      <c r="AO926" s="64" t="s">
        <v>48</v>
      </c>
      <c r="AP926" s="64" t="s">
        <v>48</v>
      </c>
    </row>
    <row r="927" spans="1:46" ht="15.65" x14ac:dyDescent="0.3">
      <c r="A927" s="15">
        <v>46132</v>
      </c>
      <c r="B927" s="58" t="s">
        <v>44</v>
      </c>
      <c r="C927" s="59" t="s">
        <v>72</v>
      </c>
      <c r="D927" s="59" t="s">
        <v>46</v>
      </c>
      <c r="E927" s="60">
        <v>3</v>
      </c>
      <c r="F927" s="61" t="s">
        <v>3339</v>
      </c>
      <c r="G927" s="62" t="s">
        <v>48</v>
      </c>
      <c r="H927" s="65" t="s">
        <v>150</v>
      </c>
      <c r="I927" s="65" t="s">
        <v>76</v>
      </c>
      <c r="J927" s="65" t="s">
        <v>77</v>
      </c>
      <c r="K927" s="65" t="s">
        <v>3340</v>
      </c>
      <c r="L927" s="65" t="s">
        <v>3403</v>
      </c>
      <c r="M927" s="65" t="s">
        <v>54</v>
      </c>
      <c r="N927" s="65" t="s">
        <v>179</v>
      </c>
      <c r="O927" s="65" t="s">
        <v>180</v>
      </c>
      <c r="P927" s="65" t="s">
        <v>3342</v>
      </c>
      <c r="Q927" s="65" t="s">
        <v>83</v>
      </c>
      <c r="R927" s="65" t="s">
        <v>48</v>
      </c>
      <c r="S927" s="65" t="s">
        <v>3343</v>
      </c>
      <c r="T927" s="65" t="s">
        <v>85</v>
      </c>
      <c r="U927" s="65" t="s">
        <v>86</v>
      </c>
      <c r="V927" s="65" t="s">
        <v>48</v>
      </c>
      <c r="W927" s="65" t="s">
        <v>3344</v>
      </c>
      <c r="X927" s="65" t="s">
        <v>157</v>
      </c>
      <c r="Y927" s="65" t="s">
        <v>89</v>
      </c>
      <c r="Z927" s="65" t="s">
        <v>90</v>
      </c>
      <c r="AA927" s="65" t="s">
        <v>63</v>
      </c>
      <c r="AB927" s="65" t="s">
        <v>64</v>
      </c>
      <c r="AC927" s="65" t="s">
        <v>476</v>
      </c>
      <c r="AD927" s="65" t="s">
        <v>44</v>
      </c>
      <c r="AE927" s="65" t="s">
        <v>3345</v>
      </c>
      <c r="AF927" s="65" t="s">
        <v>67</v>
      </c>
      <c r="AG927" s="65" t="s">
        <v>48</v>
      </c>
      <c r="AH927" s="65" t="s">
        <v>3346</v>
      </c>
      <c r="AI927" s="65" t="s">
        <v>48</v>
      </c>
      <c r="AJ927" s="65" t="s">
        <v>48</v>
      </c>
      <c r="AK927" s="65" t="s">
        <v>48</v>
      </c>
      <c r="AL927" s="75" t="s">
        <v>69</v>
      </c>
      <c r="AM927" s="75" t="s">
        <v>48</v>
      </c>
      <c r="AN927" s="75"/>
      <c r="AO927" s="75" t="s">
        <v>48</v>
      </c>
      <c r="AP927" s="75" t="s">
        <v>3431</v>
      </c>
    </row>
    <row r="928" spans="1:46" ht="15.65" x14ac:dyDescent="0.3">
      <c r="A928" s="15">
        <v>46132</v>
      </c>
      <c r="B928" s="58" t="s">
        <v>44</v>
      </c>
      <c r="C928" s="59" t="s">
        <v>45</v>
      </c>
      <c r="D928" s="59" t="s">
        <v>46</v>
      </c>
      <c r="E928" s="60">
        <v>4</v>
      </c>
      <c r="F928" s="61" t="s">
        <v>3284</v>
      </c>
      <c r="G928" s="62" t="s">
        <v>48</v>
      </c>
      <c r="H928" s="65" t="s">
        <v>413</v>
      </c>
      <c r="I928" s="65" t="s">
        <v>97</v>
      </c>
      <c r="J928" s="65" t="s">
        <v>98</v>
      </c>
      <c r="K928" s="65" t="s">
        <v>3359</v>
      </c>
      <c r="L928" s="65" t="s">
        <v>3404</v>
      </c>
      <c r="M928" s="65" t="s">
        <v>54</v>
      </c>
      <c r="N928" s="65" t="s">
        <v>607</v>
      </c>
      <c r="O928" s="65" t="s">
        <v>2194</v>
      </c>
      <c r="P928" s="65" t="s">
        <v>3287</v>
      </c>
      <c r="Q928" s="65" t="s">
        <v>57</v>
      </c>
      <c r="R928" s="65" t="s">
        <v>48</v>
      </c>
      <c r="S928" s="65" t="s">
        <v>3361</v>
      </c>
      <c r="T928" s="65" t="s">
        <v>59</v>
      </c>
      <c r="U928" s="65" t="s">
        <v>332</v>
      </c>
      <c r="V928" s="65" t="s">
        <v>48</v>
      </c>
      <c r="W928" s="65" t="s">
        <v>3289</v>
      </c>
      <c r="X928" s="65" t="s">
        <v>291</v>
      </c>
      <c r="Y928" s="65" t="s">
        <v>61</v>
      </c>
      <c r="Z928" s="65" t="s">
        <v>107</v>
      </c>
      <c r="AA928" s="65" t="s">
        <v>63</v>
      </c>
      <c r="AB928" s="65" t="s">
        <v>64</v>
      </c>
      <c r="AC928" s="65" t="s">
        <v>476</v>
      </c>
      <c r="AD928" s="65" t="s">
        <v>44</v>
      </c>
      <c r="AE928" s="65" t="s">
        <v>3290</v>
      </c>
      <c r="AF928" s="65" t="s">
        <v>67</v>
      </c>
      <c r="AG928" s="65" t="s">
        <v>48</v>
      </c>
      <c r="AH928" s="65" t="s">
        <v>3362</v>
      </c>
      <c r="AI928" s="65" t="s">
        <v>48</v>
      </c>
      <c r="AJ928" s="65" t="s">
        <v>48</v>
      </c>
      <c r="AK928" s="65" t="s">
        <v>48</v>
      </c>
      <c r="AL928" s="75" t="s">
        <v>69</v>
      </c>
      <c r="AM928" s="75" t="s">
        <v>48</v>
      </c>
      <c r="AN928" s="75"/>
      <c r="AO928" s="75" t="s">
        <v>48</v>
      </c>
      <c r="AP928" s="75" t="s">
        <v>2554</v>
      </c>
    </row>
    <row r="929" spans="1:46" ht="15.65" x14ac:dyDescent="0.3">
      <c r="A929" s="15">
        <v>46132</v>
      </c>
      <c r="B929" s="58" t="s">
        <v>44</v>
      </c>
      <c r="C929" s="59" t="s">
        <v>45</v>
      </c>
      <c r="D929" s="59" t="s">
        <v>46</v>
      </c>
      <c r="E929" s="60">
        <v>6</v>
      </c>
      <c r="F929" s="61" t="s">
        <v>3136</v>
      </c>
      <c r="G929" s="62" t="s">
        <v>48</v>
      </c>
      <c r="H929" s="65" t="s">
        <v>918</v>
      </c>
      <c r="I929" s="65" t="s">
        <v>97</v>
      </c>
      <c r="J929" s="65" t="s">
        <v>98</v>
      </c>
      <c r="K929" s="65" t="s">
        <v>3137</v>
      </c>
      <c r="L929" s="65" t="s">
        <v>3405</v>
      </c>
      <c r="M929" s="65" t="s">
        <v>54</v>
      </c>
      <c r="N929" s="65" t="s">
        <v>350</v>
      </c>
      <c r="O929" s="65" t="s">
        <v>971</v>
      </c>
      <c r="P929" s="65" t="s">
        <v>3139</v>
      </c>
      <c r="Q929" s="65" t="s">
        <v>57</v>
      </c>
      <c r="R929" s="65" t="s">
        <v>48</v>
      </c>
      <c r="S929" s="65" t="s">
        <v>3140</v>
      </c>
      <c r="T929" s="65" t="s">
        <v>59</v>
      </c>
      <c r="U929" s="65" t="s">
        <v>195</v>
      </c>
      <c r="V929" s="65" t="s">
        <v>48</v>
      </c>
      <c r="W929" s="65" t="s">
        <v>3141</v>
      </c>
      <c r="X929" s="65" t="s">
        <v>143</v>
      </c>
      <c r="Y929" s="65" t="s">
        <v>61</v>
      </c>
      <c r="Z929" s="65" t="s">
        <v>107</v>
      </c>
      <c r="AA929" s="65" t="s">
        <v>63</v>
      </c>
      <c r="AB929" s="65" t="s">
        <v>64</v>
      </c>
      <c r="AC929" s="65" t="s">
        <v>476</v>
      </c>
      <c r="AD929" s="65" t="s">
        <v>44</v>
      </c>
      <c r="AE929" s="65" t="s">
        <v>3139</v>
      </c>
      <c r="AF929" s="65" t="s">
        <v>67</v>
      </c>
      <c r="AG929" s="65" t="s">
        <v>48</v>
      </c>
      <c r="AH929" s="65" t="s">
        <v>3142</v>
      </c>
      <c r="AI929" s="65" t="s">
        <v>48</v>
      </c>
      <c r="AJ929" s="65" t="s">
        <v>48</v>
      </c>
      <c r="AK929" s="65" t="s">
        <v>48</v>
      </c>
      <c r="AL929" s="64" t="s">
        <v>3370</v>
      </c>
      <c r="AM929" s="64"/>
      <c r="AN929" s="64"/>
      <c r="AO929" s="64"/>
      <c r="AP929" s="64" t="s">
        <v>3371</v>
      </c>
    </row>
    <row r="930" spans="1:46" ht="15.65" x14ac:dyDescent="0.3">
      <c r="A930" s="15">
        <v>46132</v>
      </c>
      <c r="B930" s="58" t="s">
        <v>44</v>
      </c>
      <c r="C930" s="59" t="s">
        <v>72</v>
      </c>
      <c r="D930" s="59" t="s">
        <v>46</v>
      </c>
      <c r="E930" s="60">
        <v>6</v>
      </c>
      <c r="F930" s="61" t="s">
        <v>3143</v>
      </c>
      <c r="G930" s="62" t="s">
        <v>74</v>
      </c>
      <c r="H930" s="65" t="s">
        <v>534</v>
      </c>
      <c r="I930" s="65" t="s">
        <v>76</v>
      </c>
      <c r="J930" s="65" t="s">
        <v>77</v>
      </c>
      <c r="K930" s="65" t="s">
        <v>3144</v>
      </c>
      <c r="L930" s="65" t="s">
        <v>3406</v>
      </c>
      <c r="M930" s="65" t="s">
        <v>54</v>
      </c>
      <c r="N930" s="65" t="s">
        <v>350</v>
      </c>
      <c r="O930" s="65" t="s">
        <v>971</v>
      </c>
      <c r="P930" s="65" t="s">
        <v>3146</v>
      </c>
      <c r="Q930" s="65" t="s">
        <v>83</v>
      </c>
      <c r="R930" s="65" t="s">
        <v>48</v>
      </c>
      <c r="S930" s="65" t="s">
        <v>3147</v>
      </c>
      <c r="T930" s="65" t="s">
        <v>85</v>
      </c>
      <c r="U930" s="65" t="s">
        <v>354</v>
      </c>
      <c r="V930" s="65" t="s">
        <v>48</v>
      </c>
      <c r="W930" s="65" t="s">
        <v>3148</v>
      </c>
      <c r="X930" s="65" t="s">
        <v>128</v>
      </c>
      <c r="Y930" s="65" t="s">
        <v>89</v>
      </c>
      <c r="Z930" s="65" t="s">
        <v>90</v>
      </c>
      <c r="AA930" s="65" t="s">
        <v>63</v>
      </c>
      <c r="AB930" s="65" t="s">
        <v>64</v>
      </c>
      <c r="AC930" s="65" t="s">
        <v>476</v>
      </c>
      <c r="AD930" s="65" t="s">
        <v>44</v>
      </c>
      <c r="AE930" s="65" t="s">
        <v>3139</v>
      </c>
      <c r="AF930" s="65" t="s">
        <v>67</v>
      </c>
      <c r="AG930" s="65" t="s">
        <v>48</v>
      </c>
      <c r="AH930" s="65" t="s">
        <v>3149</v>
      </c>
      <c r="AI930" s="65" t="s">
        <v>48</v>
      </c>
      <c r="AJ930" s="65" t="s">
        <v>48</v>
      </c>
      <c r="AK930" s="65" t="s">
        <v>48</v>
      </c>
      <c r="AL930" s="64" t="s">
        <v>3370</v>
      </c>
      <c r="AM930" s="64"/>
      <c r="AN930" s="64"/>
      <c r="AO930" s="64"/>
      <c r="AP930" s="64" t="s">
        <v>3371</v>
      </c>
    </row>
    <row r="931" spans="1:46" ht="15.65" x14ac:dyDescent="0.3">
      <c r="A931" s="15">
        <v>46132</v>
      </c>
      <c r="B931" s="58" t="s">
        <v>44</v>
      </c>
      <c r="C931" s="59" t="s">
        <v>72</v>
      </c>
      <c r="D931" s="59" t="s">
        <v>46</v>
      </c>
      <c r="E931" s="60">
        <v>6</v>
      </c>
      <c r="F931" s="61" t="s">
        <v>3150</v>
      </c>
      <c r="G931" s="62" t="s">
        <v>74</v>
      </c>
      <c r="H931" s="65" t="s">
        <v>921</v>
      </c>
      <c r="I931" s="65" t="s">
        <v>76</v>
      </c>
      <c r="J931" s="65" t="s">
        <v>77</v>
      </c>
      <c r="K931" s="65" t="s">
        <v>3151</v>
      </c>
      <c r="L931" s="65" t="s">
        <v>3407</v>
      </c>
      <c r="M931" s="65" t="s">
        <v>54</v>
      </c>
      <c r="N931" s="65" t="s">
        <v>350</v>
      </c>
      <c r="O931" s="65" t="s">
        <v>971</v>
      </c>
      <c r="P931" s="65" t="s">
        <v>3153</v>
      </c>
      <c r="Q931" s="65" t="s">
        <v>83</v>
      </c>
      <c r="R931" s="65" t="s">
        <v>48</v>
      </c>
      <c r="S931" s="65" t="s">
        <v>3154</v>
      </c>
      <c r="T931" s="65" t="s">
        <v>85</v>
      </c>
      <c r="U931" s="65" t="s">
        <v>354</v>
      </c>
      <c r="V931" s="65" t="s">
        <v>48</v>
      </c>
      <c r="W931" s="65" t="s">
        <v>3148</v>
      </c>
      <c r="X931" s="65" t="s">
        <v>128</v>
      </c>
      <c r="Y931" s="65" t="s">
        <v>89</v>
      </c>
      <c r="Z931" s="65" t="s">
        <v>90</v>
      </c>
      <c r="AA931" s="65" t="s">
        <v>63</v>
      </c>
      <c r="AB931" s="65" t="s">
        <v>64</v>
      </c>
      <c r="AC931" s="65" t="s">
        <v>476</v>
      </c>
      <c r="AD931" s="65" t="s">
        <v>44</v>
      </c>
      <c r="AE931" s="65" t="s">
        <v>3139</v>
      </c>
      <c r="AF931" s="65" t="s">
        <v>67</v>
      </c>
      <c r="AG931" s="65" t="s">
        <v>48</v>
      </c>
      <c r="AH931" s="65" t="s">
        <v>3155</v>
      </c>
      <c r="AI931" s="65" t="s">
        <v>48</v>
      </c>
      <c r="AJ931" s="65" t="s">
        <v>48</v>
      </c>
      <c r="AK931" s="65" t="s">
        <v>48</v>
      </c>
      <c r="AL931" s="64" t="s">
        <v>3370</v>
      </c>
      <c r="AM931" s="64"/>
      <c r="AN931" s="64"/>
      <c r="AO931" s="64"/>
      <c r="AP931" s="64" t="s">
        <v>3371</v>
      </c>
    </row>
    <row r="932" spans="1:46" ht="15.65" x14ac:dyDescent="0.3">
      <c r="A932" s="15">
        <v>46132</v>
      </c>
      <c r="B932" s="58" t="s">
        <v>44</v>
      </c>
      <c r="C932" s="59" t="s">
        <v>72</v>
      </c>
      <c r="D932" s="59" t="s">
        <v>46</v>
      </c>
      <c r="E932" s="60">
        <v>7</v>
      </c>
      <c r="F932" s="61" t="s">
        <v>3021</v>
      </c>
      <c r="G932" s="62" t="s">
        <v>48</v>
      </c>
      <c r="H932" s="65" t="s">
        <v>1738</v>
      </c>
      <c r="I932" s="65" t="s">
        <v>76</v>
      </c>
      <c r="J932" s="65" t="s">
        <v>77</v>
      </c>
      <c r="K932" s="65" t="s">
        <v>3106</v>
      </c>
      <c r="L932" s="65" t="s">
        <v>3408</v>
      </c>
      <c r="M932" s="65" t="s">
        <v>54</v>
      </c>
      <c r="N932" s="65" t="s">
        <v>350</v>
      </c>
      <c r="O932" s="65" t="s">
        <v>3024</v>
      </c>
      <c r="P932" s="65" t="s">
        <v>3025</v>
      </c>
      <c r="Q932" s="65" t="s">
        <v>83</v>
      </c>
      <c r="R932" s="65" t="s">
        <v>48</v>
      </c>
      <c r="S932" s="65" t="s">
        <v>3108</v>
      </c>
      <c r="T932" s="65" t="s">
        <v>85</v>
      </c>
      <c r="U932" s="65" t="s">
        <v>206</v>
      </c>
      <c r="V932" s="65" t="s">
        <v>48</v>
      </c>
      <c r="W932" s="65" t="s">
        <v>3027</v>
      </c>
      <c r="X932" s="65" t="s">
        <v>130</v>
      </c>
      <c r="Y932" s="65" t="s">
        <v>89</v>
      </c>
      <c r="Z932" s="65" t="s">
        <v>90</v>
      </c>
      <c r="AA932" s="65" t="s">
        <v>63</v>
      </c>
      <c r="AB932" s="65" t="s">
        <v>64</v>
      </c>
      <c r="AC932" s="65" t="s">
        <v>476</v>
      </c>
      <c r="AD932" s="65" t="s">
        <v>44</v>
      </c>
      <c r="AE932" s="65" t="s">
        <v>3028</v>
      </c>
      <c r="AF932" s="65" t="s">
        <v>67</v>
      </c>
      <c r="AG932" s="65" t="s">
        <v>48</v>
      </c>
      <c r="AH932" s="65" t="s">
        <v>3109</v>
      </c>
      <c r="AI932" s="65" t="s">
        <v>48</v>
      </c>
      <c r="AJ932" s="65" t="s">
        <v>48</v>
      </c>
      <c r="AK932" s="65" t="s">
        <v>48</v>
      </c>
      <c r="AL932" s="64" t="s">
        <v>133</v>
      </c>
      <c r="AM932" s="64" t="s">
        <v>134</v>
      </c>
      <c r="AN932" s="64"/>
      <c r="AO932" s="64"/>
      <c r="AP932" s="64" t="s">
        <v>135</v>
      </c>
    </row>
    <row r="933" spans="1:46" ht="15.65" x14ac:dyDescent="0.3">
      <c r="A933" s="15">
        <v>46132</v>
      </c>
      <c r="B933" s="58" t="s">
        <v>44</v>
      </c>
      <c r="C933" s="59" t="s">
        <v>72</v>
      </c>
      <c r="D933" s="59" t="s">
        <v>46</v>
      </c>
      <c r="E933" s="60">
        <v>7</v>
      </c>
      <c r="F933" s="61" t="s">
        <v>3110</v>
      </c>
      <c r="G933" s="62" t="s">
        <v>48</v>
      </c>
      <c r="H933" s="65" t="s">
        <v>536</v>
      </c>
      <c r="I933" s="65" t="s">
        <v>76</v>
      </c>
      <c r="J933" s="65" t="s">
        <v>77</v>
      </c>
      <c r="K933" s="65" t="s">
        <v>3111</v>
      </c>
      <c r="L933" s="65" t="s">
        <v>3409</v>
      </c>
      <c r="M933" s="65" t="s">
        <v>54</v>
      </c>
      <c r="N933" s="65" t="s">
        <v>350</v>
      </c>
      <c r="O933" s="65" t="s">
        <v>1065</v>
      </c>
      <c r="P933" s="65" t="s">
        <v>3113</v>
      </c>
      <c r="Q933" s="65" t="s">
        <v>83</v>
      </c>
      <c r="R933" s="65" t="s">
        <v>48</v>
      </c>
      <c r="S933" s="65" t="s">
        <v>3114</v>
      </c>
      <c r="T933" s="65" t="s">
        <v>85</v>
      </c>
      <c r="U933" s="65" t="s">
        <v>206</v>
      </c>
      <c r="V933" s="65" t="s">
        <v>48</v>
      </c>
      <c r="W933" s="65" t="s">
        <v>3115</v>
      </c>
      <c r="X933" s="65" t="s">
        <v>86</v>
      </c>
      <c r="Y933" s="65" t="s">
        <v>89</v>
      </c>
      <c r="Z933" s="65" t="s">
        <v>90</v>
      </c>
      <c r="AA933" s="65" t="s">
        <v>63</v>
      </c>
      <c r="AB933" s="65" t="s">
        <v>64</v>
      </c>
      <c r="AC933" s="65" t="s">
        <v>476</v>
      </c>
      <c r="AD933" s="65" t="s">
        <v>44</v>
      </c>
      <c r="AE933" s="65" t="s">
        <v>3116</v>
      </c>
      <c r="AF933" s="65" t="s">
        <v>67</v>
      </c>
      <c r="AG933" s="65" t="s">
        <v>48</v>
      </c>
      <c r="AH933" s="65" t="s">
        <v>3117</v>
      </c>
      <c r="AI933" s="65" t="s">
        <v>48</v>
      </c>
      <c r="AJ933" s="65" t="s">
        <v>48</v>
      </c>
      <c r="AK933" s="65" t="s">
        <v>48</v>
      </c>
      <c r="AL933" s="64" t="s">
        <v>172</v>
      </c>
      <c r="AM933" s="64" t="s">
        <v>1210</v>
      </c>
      <c r="AN933" s="64"/>
      <c r="AO933" s="64" t="s">
        <v>48</v>
      </c>
      <c r="AP933" s="64" t="s">
        <v>1216</v>
      </c>
    </row>
    <row r="934" spans="1:46" ht="15.65" x14ac:dyDescent="0.3">
      <c r="A934" s="102">
        <v>46132</v>
      </c>
      <c r="B934" s="58" t="s">
        <v>44</v>
      </c>
      <c r="C934" s="59" t="s">
        <v>72</v>
      </c>
      <c r="D934" s="59" t="s">
        <v>46</v>
      </c>
      <c r="E934" s="60">
        <v>10</v>
      </c>
      <c r="F934" s="61" t="s">
        <v>3043</v>
      </c>
      <c r="G934" s="62" t="s">
        <v>74</v>
      </c>
      <c r="H934" s="65" t="s">
        <v>618</v>
      </c>
      <c r="I934" s="65" t="s">
        <v>76</v>
      </c>
      <c r="J934" s="65" t="s">
        <v>77</v>
      </c>
      <c r="K934" s="65" t="s">
        <v>3044</v>
      </c>
      <c r="L934" s="65" t="s">
        <v>3410</v>
      </c>
      <c r="M934" s="65" t="s">
        <v>54</v>
      </c>
      <c r="N934" s="65" t="s">
        <v>202</v>
      </c>
      <c r="O934" s="65" t="s">
        <v>3046</v>
      </c>
      <c r="P934" s="65" t="s">
        <v>3047</v>
      </c>
      <c r="Q934" s="65" t="s">
        <v>83</v>
      </c>
      <c r="R934" s="65" t="s">
        <v>48</v>
      </c>
      <c r="S934" s="65" t="s">
        <v>3048</v>
      </c>
      <c r="T934" s="65" t="s">
        <v>85</v>
      </c>
      <c r="U934" s="65" t="s">
        <v>308</v>
      </c>
      <c r="V934" s="65" t="s">
        <v>48</v>
      </c>
      <c r="W934" s="65" t="s">
        <v>3049</v>
      </c>
      <c r="X934" s="65" t="s">
        <v>254</v>
      </c>
      <c r="Y934" s="65" t="s">
        <v>89</v>
      </c>
      <c r="Z934" s="65" t="s">
        <v>90</v>
      </c>
      <c r="AA934" s="65" t="s">
        <v>63</v>
      </c>
      <c r="AB934" s="65" t="s">
        <v>64</v>
      </c>
      <c r="AC934" s="65" t="s">
        <v>476</v>
      </c>
      <c r="AD934" s="65" t="s">
        <v>44</v>
      </c>
      <c r="AE934" s="65" t="s">
        <v>3050</v>
      </c>
      <c r="AF934" s="65" t="s">
        <v>67</v>
      </c>
      <c r="AG934" s="65" t="s">
        <v>48</v>
      </c>
      <c r="AH934" s="65" t="s">
        <v>3051</v>
      </c>
      <c r="AI934" s="65" t="s">
        <v>48</v>
      </c>
      <c r="AJ934" s="65" t="s">
        <v>48</v>
      </c>
      <c r="AK934" s="65" t="s">
        <v>48</v>
      </c>
      <c r="AL934" s="64" t="s">
        <v>172</v>
      </c>
      <c r="AM934" s="64" t="s">
        <v>134</v>
      </c>
      <c r="AN934" s="64"/>
      <c r="AO934" s="64"/>
      <c r="AP934" s="64" t="s">
        <v>135</v>
      </c>
      <c r="AQ934" s="106"/>
      <c r="AR934" s="107"/>
      <c r="AS934" s="107"/>
      <c r="AT934" s="106"/>
    </row>
    <row r="935" spans="1:46" ht="16.3" thickBot="1" x14ac:dyDescent="0.35">
      <c r="A935" s="79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3411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08"/>
      <c r="AR935" s="109"/>
      <c r="AS935" s="109"/>
      <c r="AT935" s="108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3432</v>
      </c>
      <c r="L936" s="42" t="s">
        <v>3433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3434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8" t="s">
        <v>44</v>
      </c>
      <c r="C937" s="59" t="s">
        <v>45</v>
      </c>
      <c r="D937" s="59" t="s">
        <v>46</v>
      </c>
      <c r="E937" s="60">
        <v>1</v>
      </c>
      <c r="F937" s="61" t="s">
        <v>3435</v>
      </c>
      <c r="G937" s="62" t="s">
        <v>48</v>
      </c>
      <c r="H937" s="63" t="s">
        <v>786</v>
      </c>
      <c r="I937" s="63" t="s">
        <v>97</v>
      </c>
      <c r="J937" s="63" t="s">
        <v>98</v>
      </c>
      <c r="K937" s="63" t="s">
        <v>3436</v>
      </c>
      <c r="L937" s="63" t="s">
        <v>3437</v>
      </c>
      <c r="M937" s="63" t="s">
        <v>54</v>
      </c>
      <c r="N937" s="63" t="s">
        <v>286</v>
      </c>
      <c r="O937" s="63" t="s">
        <v>3438</v>
      </c>
      <c r="P937" s="63" t="s">
        <v>3439</v>
      </c>
      <c r="Q937" s="63" t="s">
        <v>57</v>
      </c>
      <c r="R937" s="63" t="s">
        <v>48</v>
      </c>
      <c r="S937" s="63" t="s">
        <v>3440</v>
      </c>
      <c r="T937" s="63" t="s">
        <v>59</v>
      </c>
      <c r="U937" s="63" t="s">
        <v>49</v>
      </c>
      <c r="V937" s="63" t="s">
        <v>48</v>
      </c>
      <c r="W937" s="63" t="s">
        <v>3441</v>
      </c>
      <c r="X937" s="63" t="s">
        <v>106</v>
      </c>
      <c r="Y937" s="63" t="s">
        <v>61</v>
      </c>
      <c r="Z937" s="63" t="s">
        <v>107</v>
      </c>
      <c r="AA937" s="63" t="s">
        <v>63</v>
      </c>
      <c r="AB937" s="63" t="s">
        <v>64</v>
      </c>
      <c r="AC937" s="63" t="s">
        <v>476</v>
      </c>
      <c r="AD937" s="63" t="s">
        <v>44</v>
      </c>
      <c r="AE937" s="63" t="s">
        <v>3442</v>
      </c>
      <c r="AF937" s="63" t="s">
        <v>67</v>
      </c>
      <c r="AG937" s="63" t="s">
        <v>48</v>
      </c>
      <c r="AH937" s="63" t="s">
        <v>3443</v>
      </c>
      <c r="AI937" s="63" t="s">
        <v>48</v>
      </c>
      <c r="AJ937" s="63" t="s">
        <v>48</v>
      </c>
      <c r="AK937" s="63" t="s">
        <v>48</v>
      </c>
      <c r="AL937" s="75" t="s">
        <v>69</v>
      </c>
      <c r="AM937" s="75" t="s">
        <v>48</v>
      </c>
      <c r="AN937" s="75"/>
      <c r="AO937" s="75" t="s">
        <v>48</v>
      </c>
      <c r="AP937" s="75" t="s">
        <v>3461</v>
      </c>
    </row>
    <row r="938" spans="1:46" ht="15.65" x14ac:dyDescent="0.3">
      <c r="A938" s="15">
        <v>46133</v>
      </c>
      <c r="B938" s="58" t="s">
        <v>44</v>
      </c>
      <c r="C938" s="59" t="s">
        <v>45</v>
      </c>
      <c r="D938" s="59" t="s">
        <v>46</v>
      </c>
      <c r="E938" s="60">
        <v>1</v>
      </c>
      <c r="F938" s="61" t="s">
        <v>3444</v>
      </c>
      <c r="G938" s="62" t="s">
        <v>48</v>
      </c>
      <c r="H938" s="63" t="s">
        <v>493</v>
      </c>
      <c r="I938" s="63" t="s">
        <v>97</v>
      </c>
      <c r="J938" s="63" t="s">
        <v>98</v>
      </c>
      <c r="K938" s="63" t="s">
        <v>3436</v>
      </c>
      <c r="L938" s="63" t="s">
        <v>3437</v>
      </c>
      <c r="M938" s="63" t="s">
        <v>54</v>
      </c>
      <c r="N938" s="63" t="s">
        <v>286</v>
      </c>
      <c r="O938" s="63" t="s">
        <v>3438</v>
      </c>
      <c r="P938" s="63" t="s">
        <v>3439</v>
      </c>
      <c r="Q938" s="63" t="s">
        <v>57</v>
      </c>
      <c r="R938" s="63" t="s">
        <v>48</v>
      </c>
      <c r="S938" s="63" t="s">
        <v>3445</v>
      </c>
      <c r="T938" s="63" t="s">
        <v>59</v>
      </c>
      <c r="U938" s="63" t="s">
        <v>49</v>
      </c>
      <c r="V938" s="63" t="s">
        <v>48</v>
      </c>
      <c r="W938" s="63" t="s">
        <v>3441</v>
      </c>
      <c r="X938" s="63" t="s">
        <v>106</v>
      </c>
      <c r="Y938" s="63" t="s">
        <v>61</v>
      </c>
      <c r="Z938" s="63" t="s">
        <v>107</v>
      </c>
      <c r="AA938" s="63" t="s">
        <v>63</v>
      </c>
      <c r="AB938" s="63" t="s">
        <v>64</v>
      </c>
      <c r="AC938" s="63" t="s">
        <v>476</v>
      </c>
      <c r="AD938" s="63" t="s">
        <v>44</v>
      </c>
      <c r="AE938" s="63" t="s">
        <v>3442</v>
      </c>
      <c r="AF938" s="63" t="s">
        <v>67</v>
      </c>
      <c r="AG938" s="63" t="s">
        <v>48</v>
      </c>
      <c r="AH938" s="63" t="s">
        <v>3443</v>
      </c>
      <c r="AI938" s="63" t="s">
        <v>48</v>
      </c>
      <c r="AJ938" s="63" t="s">
        <v>48</v>
      </c>
      <c r="AK938" s="63" t="s">
        <v>48</v>
      </c>
      <c r="AL938" s="75" t="s">
        <v>69</v>
      </c>
      <c r="AM938" s="75" t="s">
        <v>48</v>
      </c>
      <c r="AN938" s="75"/>
      <c r="AO938" s="75" t="s">
        <v>48</v>
      </c>
      <c r="AP938" s="75" t="s">
        <v>3461</v>
      </c>
    </row>
    <row r="939" spans="1:46" ht="15.65" x14ac:dyDescent="0.3">
      <c r="A939" s="15">
        <v>46133</v>
      </c>
      <c r="B939" s="58" t="s">
        <v>44</v>
      </c>
      <c r="C939" s="59" t="s">
        <v>45</v>
      </c>
      <c r="D939" s="59" t="s">
        <v>46</v>
      </c>
      <c r="E939" s="60">
        <v>2</v>
      </c>
      <c r="F939" s="61" t="s">
        <v>3393</v>
      </c>
      <c r="G939" s="62" t="s">
        <v>48</v>
      </c>
      <c r="H939" s="65" t="s">
        <v>671</v>
      </c>
      <c r="I939" s="65" t="s">
        <v>97</v>
      </c>
      <c r="J939" s="65" t="s">
        <v>98</v>
      </c>
      <c r="K939" s="65" t="s">
        <v>3394</v>
      </c>
      <c r="L939" s="65" t="s">
        <v>3446</v>
      </c>
      <c r="M939" s="65" t="s">
        <v>54</v>
      </c>
      <c r="N939" s="65" t="s">
        <v>55</v>
      </c>
      <c r="O939" s="65" t="s">
        <v>2471</v>
      </c>
      <c r="P939" s="65" t="s">
        <v>3396</v>
      </c>
      <c r="Q939" s="65" t="s">
        <v>57</v>
      </c>
      <c r="R939" s="65" t="s">
        <v>48</v>
      </c>
      <c r="S939" s="65" t="s">
        <v>3397</v>
      </c>
      <c r="T939" s="65" t="s">
        <v>59</v>
      </c>
      <c r="U939" s="65" t="s">
        <v>481</v>
      </c>
      <c r="V939" s="65" t="s">
        <v>48</v>
      </c>
      <c r="W939" s="65" t="s">
        <v>3398</v>
      </c>
      <c r="X939" s="65" t="s">
        <v>291</v>
      </c>
      <c r="Y939" s="65" t="s">
        <v>61</v>
      </c>
      <c r="Z939" s="65" t="s">
        <v>62</v>
      </c>
      <c r="AA939" s="65" t="s">
        <v>63</v>
      </c>
      <c r="AB939" s="65" t="s">
        <v>64</v>
      </c>
      <c r="AC939" s="65" t="s">
        <v>476</v>
      </c>
      <c r="AD939" s="65" t="s">
        <v>44</v>
      </c>
      <c r="AE939" s="65" t="s">
        <v>3399</v>
      </c>
      <c r="AF939" s="65" t="s">
        <v>67</v>
      </c>
      <c r="AG939" s="65" t="s">
        <v>48</v>
      </c>
      <c r="AH939" s="65" t="s">
        <v>3400</v>
      </c>
      <c r="AI939" s="65" t="s">
        <v>48</v>
      </c>
      <c r="AJ939" s="65" t="s">
        <v>48</v>
      </c>
      <c r="AK939" s="65" t="s">
        <v>48</v>
      </c>
      <c r="AL939" s="75" t="s">
        <v>69</v>
      </c>
      <c r="AM939" s="75" t="s">
        <v>48</v>
      </c>
      <c r="AN939" s="75"/>
      <c r="AO939" s="75" t="s">
        <v>48</v>
      </c>
      <c r="AP939" s="75" t="s">
        <v>3460</v>
      </c>
    </row>
    <row r="940" spans="1:46" ht="15.65" x14ac:dyDescent="0.3">
      <c r="A940" s="15">
        <v>46133</v>
      </c>
      <c r="B940" s="58" t="s">
        <v>44</v>
      </c>
      <c r="C940" s="59" t="s">
        <v>45</v>
      </c>
      <c r="D940" s="59" t="s">
        <v>46</v>
      </c>
      <c r="E940" s="60">
        <v>2</v>
      </c>
      <c r="F940" s="61" t="s">
        <v>3401</v>
      </c>
      <c r="G940" s="62" t="s">
        <v>48</v>
      </c>
      <c r="H940" s="65" t="s">
        <v>795</v>
      </c>
      <c r="I940" s="65" t="s">
        <v>97</v>
      </c>
      <c r="J940" s="65" t="s">
        <v>98</v>
      </c>
      <c r="K940" s="65" t="s">
        <v>3394</v>
      </c>
      <c r="L940" s="65" t="s">
        <v>3446</v>
      </c>
      <c r="M940" s="65" t="s">
        <v>54</v>
      </c>
      <c r="N940" s="65" t="s">
        <v>55</v>
      </c>
      <c r="O940" s="65" t="s">
        <v>2471</v>
      </c>
      <c r="P940" s="65" t="s">
        <v>3396</v>
      </c>
      <c r="Q940" s="65" t="s">
        <v>57</v>
      </c>
      <c r="R940" s="65" t="s">
        <v>48</v>
      </c>
      <c r="S940" s="65" t="s">
        <v>3402</v>
      </c>
      <c r="T940" s="65" t="s">
        <v>59</v>
      </c>
      <c r="U940" s="65" t="s">
        <v>481</v>
      </c>
      <c r="V940" s="65" t="s">
        <v>48</v>
      </c>
      <c r="W940" s="65" t="s">
        <v>3398</v>
      </c>
      <c r="X940" s="65" t="s">
        <v>291</v>
      </c>
      <c r="Y940" s="65" t="s">
        <v>61</v>
      </c>
      <c r="Z940" s="65" t="s">
        <v>62</v>
      </c>
      <c r="AA940" s="65" t="s">
        <v>63</v>
      </c>
      <c r="AB940" s="65" t="s">
        <v>64</v>
      </c>
      <c r="AC940" s="65" t="s">
        <v>476</v>
      </c>
      <c r="AD940" s="65" t="s">
        <v>44</v>
      </c>
      <c r="AE940" s="65" t="s">
        <v>3399</v>
      </c>
      <c r="AF940" s="65" t="s">
        <v>67</v>
      </c>
      <c r="AG940" s="65" t="s">
        <v>48</v>
      </c>
      <c r="AH940" s="65" t="s">
        <v>3400</v>
      </c>
      <c r="AI940" s="65" t="s">
        <v>48</v>
      </c>
      <c r="AJ940" s="65" t="s">
        <v>48</v>
      </c>
      <c r="AK940" s="65" t="s">
        <v>48</v>
      </c>
      <c r="AL940" s="75" t="s">
        <v>69</v>
      </c>
      <c r="AM940" s="75" t="s">
        <v>48</v>
      </c>
      <c r="AN940" s="75"/>
      <c r="AO940" s="75" t="s">
        <v>48</v>
      </c>
      <c r="AP940" s="75" t="s">
        <v>3460</v>
      </c>
    </row>
    <row r="941" spans="1:46" ht="15.65" x14ac:dyDescent="0.3">
      <c r="A941" s="15">
        <v>46133</v>
      </c>
      <c r="B941" s="58" t="s">
        <v>44</v>
      </c>
      <c r="C941" s="59" t="s">
        <v>45</v>
      </c>
      <c r="D941" s="59" t="s">
        <v>46</v>
      </c>
      <c r="E941" s="60">
        <v>7</v>
      </c>
      <c r="F941" s="61" t="s">
        <v>3136</v>
      </c>
      <c r="G941" s="62" t="s">
        <v>48</v>
      </c>
      <c r="H941" s="65" t="s">
        <v>683</v>
      </c>
      <c r="I941" s="65" t="s">
        <v>97</v>
      </c>
      <c r="J941" s="65" t="s">
        <v>98</v>
      </c>
      <c r="K941" s="65" t="s">
        <v>3137</v>
      </c>
      <c r="L941" s="65" t="s">
        <v>3447</v>
      </c>
      <c r="M941" s="65" t="s">
        <v>54</v>
      </c>
      <c r="N941" s="65" t="s">
        <v>350</v>
      </c>
      <c r="O941" s="65" t="s">
        <v>971</v>
      </c>
      <c r="P941" s="65" t="s">
        <v>3139</v>
      </c>
      <c r="Q941" s="65" t="s">
        <v>57</v>
      </c>
      <c r="R941" s="65" t="s">
        <v>48</v>
      </c>
      <c r="S941" s="65" t="s">
        <v>3140</v>
      </c>
      <c r="T941" s="65" t="s">
        <v>59</v>
      </c>
      <c r="U941" s="65" t="s">
        <v>195</v>
      </c>
      <c r="V941" s="65" t="s">
        <v>48</v>
      </c>
      <c r="W941" s="65" t="s">
        <v>3141</v>
      </c>
      <c r="X941" s="65" t="s">
        <v>143</v>
      </c>
      <c r="Y941" s="65" t="s">
        <v>61</v>
      </c>
      <c r="Z941" s="65" t="s">
        <v>107</v>
      </c>
      <c r="AA941" s="65" t="s">
        <v>63</v>
      </c>
      <c r="AB941" s="65" t="s">
        <v>64</v>
      </c>
      <c r="AC941" s="65" t="s">
        <v>476</v>
      </c>
      <c r="AD941" s="65" t="s">
        <v>44</v>
      </c>
      <c r="AE941" s="65" t="s">
        <v>3139</v>
      </c>
      <c r="AF941" s="65" t="s">
        <v>67</v>
      </c>
      <c r="AG941" s="65" t="s">
        <v>48</v>
      </c>
      <c r="AH941" s="65" t="s">
        <v>3142</v>
      </c>
      <c r="AI941" s="65" t="s">
        <v>48</v>
      </c>
      <c r="AJ941" s="65" t="s">
        <v>48</v>
      </c>
      <c r="AK941" s="65" t="s">
        <v>48</v>
      </c>
      <c r="AL941" s="75" t="s">
        <v>69</v>
      </c>
      <c r="AM941" s="75" t="s">
        <v>3264</v>
      </c>
      <c r="AN941" s="75"/>
      <c r="AO941" s="75"/>
      <c r="AP941" s="75" t="s">
        <v>3462</v>
      </c>
    </row>
    <row r="942" spans="1:46" ht="15.65" x14ac:dyDescent="0.3">
      <c r="A942" s="15">
        <v>46133</v>
      </c>
      <c r="B942" s="58" t="s">
        <v>44</v>
      </c>
      <c r="C942" s="59" t="s">
        <v>72</v>
      </c>
      <c r="D942" s="59" t="s">
        <v>46</v>
      </c>
      <c r="E942" s="60">
        <v>7</v>
      </c>
      <c r="F942" s="61" t="s">
        <v>3143</v>
      </c>
      <c r="G942" s="62" t="s">
        <v>74</v>
      </c>
      <c r="H942" s="65" t="s">
        <v>719</v>
      </c>
      <c r="I942" s="65" t="s">
        <v>76</v>
      </c>
      <c r="J942" s="65" t="s">
        <v>77</v>
      </c>
      <c r="K942" s="65" t="s">
        <v>3144</v>
      </c>
      <c r="L942" s="65" t="s">
        <v>3448</v>
      </c>
      <c r="M942" s="65" t="s">
        <v>54</v>
      </c>
      <c r="N942" s="65" t="s">
        <v>350</v>
      </c>
      <c r="O942" s="65" t="s">
        <v>971</v>
      </c>
      <c r="P942" s="65" t="s">
        <v>3146</v>
      </c>
      <c r="Q942" s="65" t="s">
        <v>83</v>
      </c>
      <c r="R942" s="65" t="s">
        <v>48</v>
      </c>
      <c r="S942" s="65" t="s">
        <v>3147</v>
      </c>
      <c r="T942" s="65" t="s">
        <v>85</v>
      </c>
      <c r="U942" s="65" t="s">
        <v>354</v>
      </c>
      <c r="V942" s="65" t="s">
        <v>48</v>
      </c>
      <c r="W942" s="65" t="s">
        <v>3148</v>
      </c>
      <c r="X942" s="65" t="s">
        <v>128</v>
      </c>
      <c r="Y942" s="65" t="s">
        <v>89</v>
      </c>
      <c r="Z942" s="65" t="s">
        <v>90</v>
      </c>
      <c r="AA942" s="65" t="s">
        <v>63</v>
      </c>
      <c r="AB942" s="65" t="s">
        <v>64</v>
      </c>
      <c r="AC942" s="65" t="s">
        <v>476</v>
      </c>
      <c r="AD942" s="65" t="s">
        <v>44</v>
      </c>
      <c r="AE942" s="65" t="s">
        <v>3139</v>
      </c>
      <c r="AF942" s="65" t="s">
        <v>67</v>
      </c>
      <c r="AG942" s="65" t="s">
        <v>48</v>
      </c>
      <c r="AH942" s="65" t="s">
        <v>3149</v>
      </c>
      <c r="AI942" s="65" t="s">
        <v>48</v>
      </c>
      <c r="AJ942" s="65" t="s">
        <v>48</v>
      </c>
      <c r="AK942" s="65" t="s">
        <v>48</v>
      </c>
      <c r="AL942" s="75" t="s">
        <v>69</v>
      </c>
      <c r="AM942" s="75" t="s">
        <v>3264</v>
      </c>
      <c r="AN942" s="75"/>
      <c r="AO942" s="75"/>
      <c r="AP942" s="75" t="s">
        <v>3462</v>
      </c>
    </row>
    <row r="943" spans="1:46" ht="15.65" x14ac:dyDescent="0.3">
      <c r="A943" s="15">
        <v>46133</v>
      </c>
      <c r="B943" s="58" t="s">
        <v>44</v>
      </c>
      <c r="C943" s="59" t="s">
        <v>72</v>
      </c>
      <c r="D943" s="59" t="s">
        <v>46</v>
      </c>
      <c r="E943" s="60">
        <v>7</v>
      </c>
      <c r="F943" s="61" t="s">
        <v>3150</v>
      </c>
      <c r="G943" s="62" t="s">
        <v>74</v>
      </c>
      <c r="H943" s="65" t="s">
        <v>413</v>
      </c>
      <c r="I943" s="65" t="s">
        <v>76</v>
      </c>
      <c r="J943" s="65" t="s">
        <v>77</v>
      </c>
      <c r="K943" s="65" t="s">
        <v>3151</v>
      </c>
      <c r="L943" s="65" t="s">
        <v>3449</v>
      </c>
      <c r="M943" s="65" t="s">
        <v>54</v>
      </c>
      <c r="N943" s="65" t="s">
        <v>350</v>
      </c>
      <c r="O943" s="65" t="s">
        <v>971</v>
      </c>
      <c r="P943" s="65" t="s">
        <v>3153</v>
      </c>
      <c r="Q943" s="65" t="s">
        <v>83</v>
      </c>
      <c r="R943" s="65" t="s">
        <v>48</v>
      </c>
      <c r="S943" s="65" t="s">
        <v>3154</v>
      </c>
      <c r="T943" s="65" t="s">
        <v>85</v>
      </c>
      <c r="U943" s="65" t="s">
        <v>354</v>
      </c>
      <c r="V943" s="65" t="s">
        <v>48</v>
      </c>
      <c r="W943" s="65" t="s">
        <v>3148</v>
      </c>
      <c r="X943" s="65" t="s">
        <v>128</v>
      </c>
      <c r="Y943" s="65" t="s">
        <v>89</v>
      </c>
      <c r="Z943" s="65" t="s">
        <v>90</v>
      </c>
      <c r="AA943" s="65" t="s">
        <v>63</v>
      </c>
      <c r="AB943" s="65" t="s">
        <v>64</v>
      </c>
      <c r="AC943" s="65" t="s">
        <v>476</v>
      </c>
      <c r="AD943" s="65" t="s">
        <v>44</v>
      </c>
      <c r="AE943" s="65" t="s">
        <v>3139</v>
      </c>
      <c r="AF943" s="65" t="s">
        <v>67</v>
      </c>
      <c r="AG943" s="65" t="s">
        <v>48</v>
      </c>
      <c r="AH943" s="65" t="s">
        <v>3155</v>
      </c>
      <c r="AI943" s="65" t="s">
        <v>48</v>
      </c>
      <c r="AJ943" s="65" t="s">
        <v>48</v>
      </c>
      <c r="AK943" s="65" t="s">
        <v>48</v>
      </c>
      <c r="AL943" s="75" t="s">
        <v>69</v>
      </c>
      <c r="AM943" s="75" t="s">
        <v>3264</v>
      </c>
      <c r="AN943" s="75"/>
      <c r="AO943" s="75"/>
      <c r="AP943" s="75" t="s">
        <v>3462</v>
      </c>
    </row>
    <row r="944" spans="1:46" ht="15.65" x14ac:dyDescent="0.3">
      <c r="A944" s="15">
        <v>46133</v>
      </c>
      <c r="B944" s="58" t="s">
        <v>44</v>
      </c>
      <c r="C944" s="59" t="s">
        <v>72</v>
      </c>
      <c r="D944" s="59" t="s">
        <v>46</v>
      </c>
      <c r="E944" s="60">
        <v>8</v>
      </c>
      <c r="F944" s="61" t="s">
        <v>3021</v>
      </c>
      <c r="G944" s="62" t="s">
        <v>48</v>
      </c>
      <c r="H944" s="65" t="s">
        <v>367</v>
      </c>
      <c r="I944" s="65" t="s">
        <v>76</v>
      </c>
      <c r="J944" s="65" t="s">
        <v>77</v>
      </c>
      <c r="K944" s="65" t="s">
        <v>3106</v>
      </c>
      <c r="L944" s="65" t="s">
        <v>3450</v>
      </c>
      <c r="M944" s="65" t="s">
        <v>54</v>
      </c>
      <c r="N944" s="65" t="s">
        <v>350</v>
      </c>
      <c r="O944" s="65" t="s">
        <v>3024</v>
      </c>
      <c r="P944" s="65" t="s">
        <v>3025</v>
      </c>
      <c r="Q944" s="65" t="s">
        <v>83</v>
      </c>
      <c r="R944" s="65" t="s">
        <v>48</v>
      </c>
      <c r="S944" s="65" t="s">
        <v>3108</v>
      </c>
      <c r="T944" s="65" t="s">
        <v>85</v>
      </c>
      <c r="U944" s="65" t="s">
        <v>206</v>
      </c>
      <c r="V944" s="65" t="s">
        <v>48</v>
      </c>
      <c r="W944" s="65" t="s">
        <v>3027</v>
      </c>
      <c r="X944" s="65" t="s">
        <v>130</v>
      </c>
      <c r="Y944" s="65" t="s">
        <v>89</v>
      </c>
      <c r="Z944" s="65" t="s">
        <v>90</v>
      </c>
      <c r="AA944" s="65" t="s">
        <v>63</v>
      </c>
      <c r="AB944" s="65" t="s">
        <v>64</v>
      </c>
      <c r="AC944" s="65" t="s">
        <v>476</v>
      </c>
      <c r="AD944" s="65" t="s">
        <v>44</v>
      </c>
      <c r="AE944" s="65" t="s">
        <v>3028</v>
      </c>
      <c r="AF944" s="65" t="s">
        <v>67</v>
      </c>
      <c r="AG944" s="65" t="s">
        <v>48</v>
      </c>
      <c r="AH944" s="65" t="s">
        <v>3109</v>
      </c>
      <c r="AI944" s="65" t="s">
        <v>48</v>
      </c>
      <c r="AJ944" s="65" t="s">
        <v>48</v>
      </c>
      <c r="AK944" s="65" t="s">
        <v>48</v>
      </c>
      <c r="AL944" s="64" t="s">
        <v>133</v>
      </c>
      <c r="AM944" s="64" t="s">
        <v>134</v>
      </c>
      <c r="AN944" s="64"/>
      <c r="AO944" s="64"/>
      <c r="AP944" s="64" t="s">
        <v>135</v>
      </c>
      <c r="AQ944" s="14" t="s">
        <v>3463</v>
      </c>
    </row>
    <row r="945" spans="1:43" ht="15.65" x14ac:dyDescent="0.3">
      <c r="A945" s="15">
        <v>46133</v>
      </c>
      <c r="B945" s="58" t="s">
        <v>44</v>
      </c>
      <c r="C945" s="59" t="s">
        <v>72</v>
      </c>
      <c r="D945" s="59" t="s">
        <v>46</v>
      </c>
      <c r="E945" s="60">
        <v>8</v>
      </c>
      <c r="F945" s="61" t="s">
        <v>3110</v>
      </c>
      <c r="G945" s="62" t="s">
        <v>48</v>
      </c>
      <c r="H945" s="65" t="s">
        <v>532</v>
      </c>
      <c r="I945" s="65" t="s">
        <v>76</v>
      </c>
      <c r="J945" s="65" t="s">
        <v>77</v>
      </c>
      <c r="K945" s="65" t="s">
        <v>3111</v>
      </c>
      <c r="L945" s="65" t="s">
        <v>3451</v>
      </c>
      <c r="M945" s="65" t="s">
        <v>54</v>
      </c>
      <c r="N945" s="65" t="s">
        <v>350</v>
      </c>
      <c r="O945" s="65" t="s">
        <v>1065</v>
      </c>
      <c r="P945" s="65" t="s">
        <v>3113</v>
      </c>
      <c r="Q945" s="65" t="s">
        <v>83</v>
      </c>
      <c r="R945" s="65" t="s">
        <v>48</v>
      </c>
      <c r="S945" s="65" t="s">
        <v>3114</v>
      </c>
      <c r="T945" s="65" t="s">
        <v>85</v>
      </c>
      <c r="U945" s="65" t="s">
        <v>206</v>
      </c>
      <c r="V945" s="65" t="s">
        <v>48</v>
      </c>
      <c r="W945" s="65" t="s">
        <v>3115</v>
      </c>
      <c r="X945" s="65" t="s">
        <v>86</v>
      </c>
      <c r="Y945" s="65" t="s">
        <v>89</v>
      </c>
      <c r="Z945" s="65" t="s">
        <v>90</v>
      </c>
      <c r="AA945" s="65" t="s">
        <v>63</v>
      </c>
      <c r="AB945" s="65" t="s">
        <v>64</v>
      </c>
      <c r="AC945" s="65" t="s">
        <v>476</v>
      </c>
      <c r="AD945" s="65" t="s">
        <v>44</v>
      </c>
      <c r="AE945" s="65" t="s">
        <v>3116</v>
      </c>
      <c r="AF945" s="65" t="s">
        <v>67</v>
      </c>
      <c r="AG945" s="65" t="s">
        <v>48</v>
      </c>
      <c r="AH945" s="65" t="s">
        <v>3117</v>
      </c>
      <c r="AI945" s="65" t="s">
        <v>48</v>
      </c>
      <c r="AJ945" s="65" t="s">
        <v>48</v>
      </c>
      <c r="AK945" s="65" t="s">
        <v>48</v>
      </c>
      <c r="AL945" s="64" t="s">
        <v>172</v>
      </c>
      <c r="AM945" s="64" t="s">
        <v>1210</v>
      </c>
      <c r="AN945" s="64"/>
      <c r="AO945" s="64" t="s">
        <v>48</v>
      </c>
      <c r="AP945" s="64" t="s">
        <v>1216</v>
      </c>
      <c r="AQ945" s="14" t="s">
        <v>3464</v>
      </c>
    </row>
    <row r="946" spans="1:43" ht="15.65" x14ac:dyDescent="0.3">
      <c r="A946" s="15">
        <v>46133</v>
      </c>
      <c r="B946" s="58" t="s">
        <v>44</v>
      </c>
      <c r="C946" s="59" t="s">
        <v>72</v>
      </c>
      <c r="D946" s="59" t="s">
        <v>46</v>
      </c>
      <c r="E946" s="60">
        <v>11</v>
      </c>
      <c r="F946" s="61" t="s">
        <v>3043</v>
      </c>
      <c r="G946" s="62" t="s">
        <v>74</v>
      </c>
      <c r="H946" s="65" t="s">
        <v>369</v>
      </c>
      <c r="I946" s="65" t="s">
        <v>76</v>
      </c>
      <c r="J946" s="65" t="s">
        <v>77</v>
      </c>
      <c r="K946" s="65" t="s">
        <v>3044</v>
      </c>
      <c r="L946" s="65" t="s">
        <v>3452</v>
      </c>
      <c r="M946" s="65" t="s">
        <v>54</v>
      </c>
      <c r="N946" s="65" t="s">
        <v>202</v>
      </c>
      <c r="O946" s="65" t="s">
        <v>3046</v>
      </c>
      <c r="P946" s="65" t="s">
        <v>3047</v>
      </c>
      <c r="Q946" s="65" t="s">
        <v>83</v>
      </c>
      <c r="R946" s="65" t="s">
        <v>48</v>
      </c>
      <c r="S946" s="65" t="s">
        <v>3048</v>
      </c>
      <c r="T946" s="65" t="s">
        <v>85</v>
      </c>
      <c r="U946" s="65" t="s">
        <v>308</v>
      </c>
      <c r="V946" s="65" t="s">
        <v>48</v>
      </c>
      <c r="W946" s="65" t="s">
        <v>3049</v>
      </c>
      <c r="X946" s="65" t="s">
        <v>254</v>
      </c>
      <c r="Y946" s="65" t="s">
        <v>89</v>
      </c>
      <c r="Z946" s="65" t="s">
        <v>90</v>
      </c>
      <c r="AA946" s="65" t="s">
        <v>63</v>
      </c>
      <c r="AB946" s="65" t="s">
        <v>64</v>
      </c>
      <c r="AC946" s="65" t="s">
        <v>476</v>
      </c>
      <c r="AD946" s="65" t="s">
        <v>44</v>
      </c>
      <c r="AE946" s="65" t="s">
        <v>3050</v>
      </c>
      <c r="AF946" s="65" t="s">
        <v>67</v>
      </c>
      <c r="AG946" s="65" t="s">
        <v>48</v>
      </c>
      <c r="AH946" s="65" t="s">
        <v>3051</v>
      </c>
      <c r="AI946" s="65" t="s">
        <v>48</v>
      </c>
      <c r="AJ946" s="65" t="s">
        <v>48</v>
      </c>
      <c r="AK946" s="65" t="s">
        <v>48</v>
      </c>
      <c r="AL946" s="64" t="s">
        <v>172</v>
      </c>
      <c r="AM946" s="64" t="s">
        <v>134</v>
      </c>
      <c r="AN946" s="64"/>
      <c r="AO946" s="64"/>
      <c r="AP946" s="64" t="s">
        <v>135</v>
      </c>
      <c r="AQ946" s="14" t="s">
        <v>3465</v>
      </c>
    </row>
    <row r="947" spans="1:43" ht="16.3" thickBot="1" x14ac:dyDescent="0.35">
      <c r="A947" s="79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3453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4" t="s">
        <v>3466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3468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3469</v>
      </c>
      <c r="L948" s="42" t="s">
        <v>3470</v>
      </c>
      <c r="M948" s="42" t="s">
        <v>54</v>
      </c>
      <c r="N948" s="42" t="s">
        <v>80</v>
      </c>
      <c r="O948" s="42" t="s">
        <v>3471</v>
      </c>
      <c r="P948" s="42" t="s">
        <v>3472</v>
      </c>
      <c r="Q948" s="42" t="s">
        <v>83</v>
      </c>
      <c r="R948" s="42" t="s">
        <v>48</v>
      </c>
      <c r="S948" s="42" t="s">
        <v>3473</v>
      </c>
      <c r="T948" s="42" t="s">
        <v>85</v>
      </c>
      <c r="U948" s="42" t="s">
        <v>335</v>
      </c>
      <c r="V948" s="42" t="s">
        <v>48</v>
      </c>
      <c r="W948" s="42" t="s">
        <v>3474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3475</v>
      </c>
      <c r="AF948" s="42" t="s">
        <v>67</v>
      </c>
      <c r="AG948" s="42" t="s">
        <v>48</v>
      </c>
      <c r="AH948" s="42" t="s">
        <v>3476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4" t="s">
        <v>3464</v>
      </c>
    </row>
    <row r="949" spans="1:43" ht="15.65" x14ac:dyDescent="0.3">
      <c r="A949" s="15">
        <v>46134</v>
      </c>
      <c r="B949" s="58" t="s">
        <v>44</v>
      </c>
      <c r="C949" s="59" t="s">
        <v>72</v>
      </c>
      <c r="D949" s="59" t="s">
        <v>46</v>
      </c>
      <c r="E949" s="60">
        <v>0</v>
      </c>
      <c r="F949" s="61" t="s">
        <v>3477</v>
      </c>
      <c r="G949" s="62" t="s">
        <v>48</v>
      </c>
      <c r="H949" s="63" t="s">
        <v>354</v>
      </c>
      <c r="I949" s="63" t="s">
        <v>76</v>
      </c>
      <c r="J949" s="63" t="s">
        <v>77</v>
      </c>
      <c r="K949" s="63" t="s">
        <v>3469</v>
      </c>
      <c r="L949" s="63" t="s">
        <v>3470</v>
      </c>
      <c r="M949" s="63" t="s">
        <v>54</v>
      </c>
      <c r="N949" s="63" t="s">
        <v>80</v>
      </c>
      <c r="O949" s="63" t="s">
        <v>3471</v>
      </c>
      <c r="P949" s="63" t="s">
        <v>3478</v>
      </c>
      <c r="Q949" s="63" t="s">
        <v>83</v>
      </c>
      <c r="R949" s="63" t="s">
        <v>48</v>
      </c>
      <c r="S949" s="63" t="s">
        <v>3479</v>
      </c>
      <c r="T949" s="63" t="s">
        <v>85</v>
      </c>
      <c r="U949" s="63" t="s">
        <v>335</v>
      </c>
      <c r="V949" s="63" t="s">
        <v>48</v>
      </c>
      <c r="W949" s="63" t="s">
        <v>3474</v>
      </c>
      <c r="X949" s="63" t="s">
        <v>130</v>
      </c>
      <c r="Y949" s="63" t="s">
        <v>89</v>
      </c>
      <c r="Z949" s="63" t="s">
        <v>90</v>
      </c>
      <c r="AA949" s="63" t="s">
        <v>63</v>
      </c>
      <c r="AB949" s="63" t="s">
        <v>64</v>
      </c>
      <c r="AC949" s="63" t="s">
        <v>476</v>
      </c>
      <c r="AD949" s="63" t="s">
        <v>44</v>
      </c>
      <c r="AE949" s="63" t="s">
        <v>3475</v>
      </c>
      <c r="AF949" s="63" t="s">
        <v>67</v>
      </c>
      <c r="AG949" s="63" t="s">
        <v>48</v>
      </c>
      <c r="AH949" s="63" t="s">
        <v>3476</v>
      </c>
      <c r="AI949" s="63" t="s">
        <v>48</v>
      </c>
      <c r="AJ949" s="63" t="s">
        <v>48</v>
      </c>
      <c r="AK949" s="63" t="s">
        <v>48</v>
      </c>
      <c r="AL949" s="75" t="s">
        <v>3556</v>
      </c>
      <c r="AM949" s="75" t="s">
        <v>48</v>
      </c>
      <c r="AN949" s="75"/>
      <c r="AO949" s="75" t="s">
        <v>48</v>
      </c>
      <c r="AP949" s="75" t="s">
        <v>300</v>
      </c>
      <c r="AQ949" s="14" t="s">
        <v>3464</v>
      </c>
    </row>
    <row r="950" spans="1:43" ht="15.65" x14ac:dyDescent="0.3">
      <c r="A950" s="15">
        <v>46134</v>
      </c>
      <c r="B950" s="58" t="s">
        <v>44</v>
      </c>
      <c r="C950" s="59" t="s">
        <v>45</v>
      </c>
      <c r="D950" s="59" t="s">
        <v>46</v>
      </c>
      <c r="E950" s="60">
        <v>1</v>
      </c>
      <c r="F950" s="61" t="s">
        <v>3480</v>
      </c>
      <c r="G950" s="62" t="s">
        <v>48</v>
      </c>
      <c r="H950" s="63" t="s">
        <v>520</v>
      </c>
      <c r="I950" s="63" t="s">
        <v>97</v>
      </c>
      <c r="J950" s="63" t="s">
        <v>98</v>
      </c>
      <c r="K950" s="63" t="s">
        <v>3481</v>
      </c>
      <c r="L950" s="63" t="s">
        <v>3482</v>
      </c>
      <c r="M950" s="63" t="s">
        <v>54</v>
      </c>
      <c r="N950" s="63" t="s">
        <v>202</v>
      </c>
      <c r="O950" s="63" t="s">
        <v>1412</v>
      </c>
      <c r="P950" s="63" t="s">
        <v>3483</v>
      </c>
      <c r="Q950" s="63" t="s">
        <v>57</v>
      </c>
      <c r="R950" s="63" t="s">
        <v>48</v>
      </c>
      <c r="S950" s="63" t="s">
        <v>3484</v>
      </c>
      <c r="T950" s="63" t="s">
        <v>59</v>
      </c>
      <c r="U950" s="63" t="s">
        <v>291</v>
      </c>
      <c r="V950" s="63" t="s">
        <v>48</v>
      </c>
      <c r="W950" s="63" t="s">
        <v>1423</v>
      </c>
      <c r="X950" s="63" t="s">
        <v>106</v>
      </c>
      <c r="Y950" s="63" t="s">
        <v>61</v>
      </c>
      <c r="Z950" s="63" t="s">
        <v>107</v>
      </c>
      <c r="AA950" s="63" t="s">
        <v>63</v>
      </c>
      <c r="AB950" s="63" t="s">
        <v>64</v>
      </c>
      <c r="AC950" s="63" t="s">
        <v>476</v>
      </c>
      <c r="AD950" s="63" t="s">
        <v>44</v>
      </c>
      <c r="AE950" s="63" t="s">
        <v>3485</v>
      </c>
      <c r="AF950" s="63" t="s">
        <v>67</v>
      </c>
      <c r="AG950" s="63" t="s">
        <v>48</v>
      </c>
      <c r="AH950" s="63" t="s">
        <v>3486</v>
      </c>
      <c r="AI950" s="63" t="s">
        <v>48</v>
      </c>
      <c r="AJ950" s="63" t="s">
        <v>48</v>
      </c>
      <c r="AK950" s="63" t="s">
        <v>48</v>
      </c>
      <c r="AL950" s="64" t="s">
        <v>93</v>
      </c>
      <c r="AM950" s="64" t="s">
        <v>48</v>
      </c>
      <c r="AN950" s="64"/>
      <c r="AO950" s="64" t="s">
        <v>48</v>
      </c>
      <c r="AP950" s="64" t="s">
        <v>48</v>
      </c>
      <c r="AQ950" s="14" t="s">
        <v>3464</v>
      </c>
    </row>
    <row r="951" spans="1:43" ht="15.65" x14ac:dyDescent="0.3">
      <c r="A951" s="15">
        <v>46134</v>
      </c>
      <c r="B951" s="58" t="s">
        <v>44</v>
      </c>
      <c r="C951" s="59" t="s">
        <v>45</v>
      </c>
      <c r="D951" s="59" t="s">
        <v>46</v>
      </c>
      <c r="E951" s="60">
        <v>1</v>
      </c>
      <c r="F951" s="61" t="s">
        <v>3555</v>
      </c>
      <c r="G951" s="62" t="s">
        <v>48</v>
      </c>
      <c r="H951" s="65" t="s">
        <v>959</v>
      </c>
      <c r="I951" s="65" t="s">
        <v>97</v>
      </c>
      <c r="J951" s="65" t="s">
        <v>98</v>
      </c>
      <c r="K951" s="65" t="s">
        <v>3487</v>
      </c>
      <c r="L951" s="65" t="s">
        <v>3488</v>
      </c>
      <c r="M951" s="65" t="s">
        <v>54</v>
      </c>
      <c r="N951" s="65" t="s">
        <v>55</v>
      </c>
      <c r="O951" s="65" t="s">
        <v>3489</v>
      </c>
      <c r="P951" s="65" t="s">
        <v>3490</v>
      </c>
      <c r="Q951" s="65" t="s">
        <v>57</v>
      </c>
      <c r="R951" s="65" t="s">
        <v>48</v>
      </c>
      <c r="S951" s="65" t="s">
        <v>3491</v>
      </c>
      <c r="T951" s="65" t="s">
        <v>59</v>
      </c>
      <c r="U951" s="65" t="s">
        <v>338</v>
      </c>
      <c r="V951" s="65" t="s">
        <v>48</v>
      </c>
      <c r="W951" s="65" t="s">
        <v>3492</v>
      </c>
      <c r="X951" s="65" t="s">
        <v>254</v>
      </c>
      <c r="Y951" s="65" t="s">
        <v>61</v>
      </c>
      <c r="Z951" s="65" t="s">
        <v>62</v>
      </c>
      <c r="AA951" s="65" t="s">
        <v>63</v>
      </c>
      <c r="AB951" s="65" t="s">
        <v>64</v>
      </c>
      <c r="AC951" s="65" t="s">
        <v>476</v>
      </c>
      <c r="AD951" s="65" t="s">
        <v>44</v>
      </c>
      <c r="AE951" s="65" t="s">
        <v>3493</v>
      </c>
      <c r="AF951" s="65" t="s">
        <v>67</v>
      </c>
      <c r="AG951" s="65" t="s">
        <v>48</v>
      </c>
      <c r="AH951" s="65" t="s">
        <v>3494</v>
      </c>
      <c r="AI951" s="65" t="s">
        <v>48</v>
      </c>
      <c r="AJ951" s="65" t="s">
        <v>48</v>
      </c>
      <c r="AK951" s="65" t="s">
        <v>48</v>
      </c>
      <c r="AL951" s="75" t="s">
        <v>69</v>
      </c>
      <c r="AM951" s="75" t="s">
        <v>48</v>
      </c>
      <c r="AN951" s="75"/>
      <c r="AO951" s="75" t="s">
        <v>48</v>
      </c>
      <c r="AP951" s="75" t="s">
        <v>3322</v>
      </c>
      <c r="AQ951" s="14" t="s">
        <v>3465</v>
      </c>
    </row>
    <row r="952" spans="1:43" ht="15.65" x14ac:dyDescent="0.3">
      <c r="A952" s="15">
        <v>46134</v>
      </c>
      <c r="B952" s="58" t="s">
        <v>44</v>
      </c>
      <c r="C952" s="59" t="s">
        <v>72</v>
      </c>
      <c r="D952" s="59" t="s">
        <v>46</v>
      </c>
      <c r="E952" s="60">
        <v>1</v>
      </c>
      <c r="F952" s="61" t="s">
        <v>3495</v>
      </c>
      <c r="G952" s="62" t="s">
        <v>74</v>
      </c>
      <c r="H952" s="65" t="s">
        <v>403</v>
      </c>
      <c r="I952" s="65" t="s">
        <v>76</v>
      </c>
      <c r="J952" s="65" t="s">
        <v>77</v>
      </c>
      <c r="K952" s="65" t="s">
        <v>3487</v>
      </c>
      <c r="L952" s="65" t="s">
        <v>3488</v>
      </c>
      <c r="M952" s="65" t="s">
        <v>54</v>
      </c>
      <c r="N952" s="65" t="s">
        <v>55</v>
      </c>
      <c r="O952" s="65" t="s">
        <v>3489</v>
      </c>
      <c r="P952" s="65" t="s">
        <v>3496</v>
      </c>
      <c r="Q952" s="65" t="s">
        <v>83</v>
      </c>
      <c r="R952" s="65" t="s">
        <v>48</v>
      </c>
      <c r="S952" s="65" t="s">
        <v>3497</v>
      </c>
      <c r="T952" s="65" t="s">
        <v>85</v>
      </c>
      <c r="U952" s="65" t="s">
        <v>49</v>
      </c>
      <c r="V952" s="65" t="s">
        <v>48</v>
      </c>
      <c r="W952" s="65" t="s">
        <v>3498</v>
      </c>
      <c r="X952" s="65" t="s">
        <v>130</v>
      </c>
      <c r="Y952" s="65" t="s">
        <v>89</v>
      </c>
      <c r="Z952" s="65" t="s">
        <v>90</v>
      </c>
      <c r="AA952" s="65" t="s">
        <v>63</v>
      </c>
      <c r="AB952" s="65" t="s">
        <v>64</v>
      </c>
      <c r="AC952" s="65" t="s">
        <v>476</v>
      </c>
      <c r="AD952" s="65" t="s">
        <v>44</v>
      </c>
      <c r="AE952" s="65" t="s">
        <v>3493</v>
      </c>
      <c r="AF952" s="65" t="s">
        <v>67</v>
      </c>
      <c r="AG952" s="65" t="s">
        <v>48</v>
      </c>
      <c r="AH952" s="65" t="s">
        <v>3494</v>
      </c>
      <c r="AI952" s="65" t="s">
        <v>48</v>
      </c>
      <c r="AJ952" s="65" t="s">
        <v>48</v>
      </c>
      <c r="AK952" s="65" t="s">
        <v>48</v>
      </c>
      <c r="AL952" s="75" t="s">
        <v>69</v>
      </c>
      <c r="AM952" s="75" t="s">
        <v>48</v>
      </c>
      <c r="AN952" s="75"/>
      <c r="AO952" s="75" t="s">
        <v>48</v>
      </c>
      <c r="AP952" s="75" t="s">
        <v>3322</v>
      </c>
      <c r="AQ952" s="14" t="s">
        <v>3465</v>
      </c>
    </row>
    <row r="953" spans="1:43" ht="15.65" x14ac:dyDescent="0.3">
      <c r="A953" s="15">
        <v>46134</v>
      </c>
      <c r="B953" s="58" t="s">
        <v>44</v>
      </c>
      <c r="C953" s="59" t="s">
        <v>72</v>
      </c>
      <c r="D953" s="59" t="s">
        <v>46</v>
      </c>
      <c r="E953" s="60">
        <v>1</v>
      </c>
      <c r="F953" s="61" t="s">
        <v>3499</v>
      </c>
      <c r="G953" s="62" t="s">
        <v>74</v>
      </c>
      <c r="H953" s="65" t="s">
        <v>96</v>
      </c>
      <c r="I953" s="65" t="s">
        <v>76</v>
      </c>
      <c r="J953" s="65" t="s">
        <v>77</v>
      </c>
      <c r="K953" s="65" t="s">
        <v>3487</v>
      </c>
      <c r="L953" s="65" t="s">
        <v>3488</v>
      </c>
      <c r="M953" s="65" t="s">
        <v>54</v>
      </c>
      <c r="N953" s="65" t="s">
        <v>55</v>
      </c>
      <c r="O953" s="65" t="s">
        <v>3489</v>
      </c>
      <c r="P953" s="65" t="s">
        <v>3500</v>
      </c>
      <c r="Q953" s="65" t="s">
        <v>83</v>
      </c>
      <c r="R953" s="65" t="s">
        <v>48</v>
      </c>
      <c r="S953" s="65" t="s">
        <v>3501</v>
      </c>
      <c r="T953" s="65" t="s">
        <v>85</v>
      </c>
      <c r="U953" s="65" t="s">
        <v>49</v>
      </c>
      <c r="V953" s="65" t="s">
        <v>48</v>
      </c>
      <c r="W953" s="65" t="s">
        <v>3498</v>
      </c>
      <c r="X953" s="65" t="s">
        <v>130</v>
      </c>
      <c r="Y953" s="65" t="s">
        <v>89</v>
      </c>
      <c r="Z953" s="65" t="s">
        <v>90</v>
      </c>
      <c r="AA953" s="65" t="s">
        <v>63</v>
      </c>
      <c r="AB953" s="65" t="s">
        <v>64</v>
      </c>
      <c r="AC953" s="65" t="s">
        <v>476</v>
      </c>
      <c r="AD953" s="65" t="s">
        <v>44</v>
      </c>
      <c r="AE953" s="65" t="s">
        <v>3493</v>
      </c>
      <c r="AF953" s="65" t="s">
        <v>67</v>
      </c>
      <c r="AG953" s="65" t="s">
        <v>48</v>
      </c>
      <c r="AH953" s="65" t="s">
        <v>3494</v>
      </c>
      <c r="AI953" s="65" t="s">
        <v>48</v>
      </c>
      <c r="AJ953" s="65" t="s">
        <v>48</v>
      </c>
      <c r="AK953" s="65" t="s">
        <v>48</v>
      </c>
      <c r="AL953" s="75" t="s">
        <v>69</v>
      </c>
      <c r="AM953" s="75" t="s">
        <v>48</v>
      </c>
      <c r="AN953" s="75"/>
      <c r="AO953" s="75" t="s">
        <v>48</v>
      </c>
      <c r="AP953" s="75" t="s">
        <v>3322</v>
      </c>
      <c r="AQ953" s="14" t="s">
        <v>3465</v>
      </c>
    </row>
    <row r="954" spans="1:43" ht="15.65" x14ac:dyDescent="0.3">
      <c r="A954" s="15">
        <v>46134</v>
      </c>
      <c r="B954" s="58" t="s">
        <v>44</v>
      </c>
      <c r="C954" s="59" t="s">
        <v>45</v>
      </c>
      <c r="D954" s="59" t="s">
        <v>46</v>
      </c>
      <c r="E954" s="60">
        <v>1</v>
      </c>
      <c r="F954" s="61" t="s">
        <v>3554</v>
      </c>
      <c r="G954" s="62" t="s">
        <v>48</v>
      </c>
      <c r="H954" s="65" t="s">
        <v>113</v>
      </c>
      <c r="I954" s="65" t="s">
        <v>97</v>
      </c>
      <c r="J954" s="65" t="s">
        <v>98</v>
      </c>
      <c r="K954" s="65" t="s">
        <v>3502</v>
      </c>
      <c r="L954" s="65" t="s">
        <v>3503</v>
      </c>
      <c r="M954" s="65" t="s">
        <v>54</v>
      </c>
      <c r="N954" s="65" t="s">
        <v>55</v>
      </c>
      <c r="O954" s="65" t="s">
        <v>1007</v>
      </c>
      <c r="P954" s="65" t="s">
        <v>3504</v>
      </c>
      <c r="Q954" s="65" t="s">
        <v>57</v>
      </c>
      <c r="R954" s="65" t="s">
        <v>48</v>
      </c>
      <c r="S954" s="65" t="s">
        <v>3505</v>
      </c>
      <c r="T954" s="65" t="s">
        <v>59</v>
      </c>
      <c r="U954" s="65" t="s">
        <v>669</v>
      </c>
      <c r="V954" s="65" t="s">
        <v>48</v>
      </c>
      <c r="W954" s="65" t="s">
        <v>3506</v>
      </c>
      <c r="X954" s="65" t="s">
        <v>291</v>
      </c>
      <c r="Y954" s="65" t="s">
        <v>61</v>
      </c>
      <c r="Z954" s="65" t="s">
        <v>107</v>
      </c>
      <c r="AA954" s="65" t="s">
        <v>63</v>
      </c>
      <c r="AB954" s="65" t="s">
        <v>64</v>
      </c>
      <c r="AC954" s="65" t="s">
        <v>476</v>
      </c>
      <c r="AD954" s="65" t="s">
        <v>44</v>
      </c>
      <c r="AE954" s="65" t="s">
        <v>3507</v>
      </c>
      <c r="AF954" s="65" t="s">
        <v>67</v>
      </c>
      <c r="AG954" s="65" t="s">
        <v>48</v>
      </c>
      <c r="AH954" s="65" t="s">
        <v>3508</v>
      </c>
      <c r="AI954" s="65" t="s">
        <v>48</v>
      </c>
      <c r="AJ954" s="65" t="s">
        <v>48</v>
      </c>
      <c r="AK954" s="65" t="s">
        <v>48</v>
      </c>
      <c r="AL954" s="75" t="s">
        <v>69</v>
      </c>
      <c r="AM954" s="75" t="s">
        <v>48</v>
      </c>
      <c r="AN954" s="75"/>
      <c r="AO954" s="75" t="s">
        <v>48</v>
      </c>
      <c r="AP954" s="75" t="s">
        <v>3323</v>
      </c>
      <c r="AQ954" s="14" t="s">
        <v>3465</v>
      </c>
    </row>
    <row r="955" spans="1:43" ht="15.65" x14ac:dyDescent="0.3">
      <c r="A955" s="15">
        <v>46134</v>
      </c>
      <c r="B955" s="58" t="s">
        <v>44</v>
      </c>
      <c r="C955" s="59" t="s">
        <v>72</v>
      </c>
      <c r="D955" s="59" t="s">
        <v>46</v>
      </c>
      <c r="E955" s="60">
        <v>1</v>
      </c>
      <c r="F955" s="61" t="s">
        <v>3509</v>
      </c>
      <c r="G955" s="62" t="s">
        <v>74</v>
      </c>
      <c r="H955" s="65" t="s">
        <v>754</v>
      </c>
      <c r="I955" s="65" t="s">
        <v>76</v>
      </c>
      <c r="J955" s="65" t="s">
        <v>77</v>
      </c>
      <c r="K955" s="65" t="s">
        <v>3510</v>
      </c>
      <c r="L955" s="65" t="s">
        <v>3511</v>
      </c>
      <c r="M955" s="65" t="s">
        <v>54</v>
      </c>
      <c r="N955" s="65" t="s">
        <v>237</v>
      </c>
      <c r="O955" s="65" t="s">
        <v>2912</v>
      </c>
      <c r="P955" s="65" t="s">
        <v>3512</v>
      </c>
      <c r="Q955" s="65" t="s">
        <v>83</v>
      </c>
      <c r="R955" s="65" t="s">
        <v>48</v>
      </c>
      <c r="S955" s="65" t="s">
        <v>3513</v>
      </c>
      <c r="T955" s="65" t="s">
        <v>85</v>
      </c>
      <c r="U955" s="65" t="s">
        <v>88</v>
      </c>
      <c r="V955" s="65" t="s">
        <v>48</v>
      </c>
      <c r="W955" s="65" t="s">
        <v>3514</v>
      </c>
      <c r="X955" s="65" t="s">
        <v>130</v>
      </c>
      <c r="Y955" s="65" t="s">
        <v>89</v>
      </c>
      <c r="Z955" s="65" t="s">
        <v>90</v>
      </c>
      <c r="AA955" s="65" t="s">
        <v>63</v>
      </c>
      <c r="AB955" s="65" t="s">
        <v>64</v>
      </c>
      <c r="AC955" s="65" t="s">
        <v>476</v>
      </c>
      <c r="AD955" s="65" t="s">
        <v>44</v>
      </c>
      <c r="AE955" s="65" t="s">
        <v>3512</v>
      </c>
      <c r="AF955" s="65" t="s">
        <v>67</v>
      </c>
      <c r="AG955" s="65" t="s">
        <v>48</v>
      </c>
      <c r="AH955" s="65" t="s">
        <v>3515</v>
      </c>
      <c r="AI955" s="65" t="s">
        <v>48</v>
      </c>
      <c r="AJ955" s="65" t="s">
        <v>48</v>
      </c>
      <c r="AK955" s="65" t="s">
        <v>48</v>
      </c>
      <c r="AL955" s="64" t="s">
        <v>93</v>
      </c>
      <c r="AM955" s="64" t="s">
        <v>48</v>
      </c>
      <c r="AN955" s="64"/>
      <c r="AO955" s="64" t="s">
        <v>48</v>
      </c>
      <c r="AP955" s="64" t="s">
        <v>48</v>
      </c>
      <c r="AQ955" s="14" t="s">
        <v>3465</v>
      </c>
    </row>
    <row r="956" spans="1:43" ht="15.65" x14ac:dyDescent="0.3">
      <c r="A956" s="15">
        <v>46134</v>
      </c>
      <c r="B956" s="58" t="s">
        <v>44</v>
      </c>
      <c r="C956" s="59" t="s">
        <v>72</v>
      </c>
      <c r="D956" s="59" t="s">
        <v>46</v>
      </c>
      <c r="E956" s="60">
        <v>9</v>
      </c>
      <c r="F956" s="61" t="s">
        <v>3021</v>
      </c>
      <c r="G956" s="62" t="s">
        <v>48</v>
      </c>
      <c r="H956" s="65" t="s">
        <v>719</v>
      </c>
      <c r="I956" s="65" t="s">
        <v>76</v>
      </c>
      <c r="J956" s="65" t="s">
        <v>77</v>
      </c>
      <c r="K956" s="65" t="s">
        <v>3106</v>
      </c>
      <c r="L956" s="65" t="s">
        <v>3516</v>
      </c>
      <c r="M956" s="65" t="s">
        <v>54</v>
      </c>
      <c r="N956" s="65" t="s">
        <v>350</v>
      </c>
      <c r="O956" s="65" t="s">
        <v>3024</v>
      </c>
      <c r="P956" s="65" t="s">
        <v>3025</v>
      </c>
      <c r="Q956" s="65" t="s">
        <v>83</v>
      </c>
      <c r="R956" s="65" t="s">
        <v>48</v>
      </c>
      <c r="S956" s="65" t="s">
        <v>3108</v>
      </c>
      <c r="T956" s="65" t="s">
        <v>85</v>
      </c>
      <c r="U956" s="65" t="s">
        <v>206</v>
      </c>
      <c r="V956" s="65" t="s">
        <v>48</v>
      </c>
      <c r="W956" s="65" t="s">
        <v>3027</v>
      </c>
      <c r="X956" s="65" t="s">
        <v>130</v>
      </c>
      <c r="Y956" s="65" t="s">
        <v>89</v>
      </c>
      <c r="Z956" s="65" t="s">
        <v>90</v>
      </c>
      <c r="AA956" s="65" t="s">
        <v>63</v>
      </c>
      <c r="AB956" s="65" t="s">
        <v>64</v>
      </c>
      <c r="AC956" s="65" t="s">
        <v>476</v>
      </c>
      <c r="AD956" s="65" t="s">
        <v>44</v>
      </c>
      <c r="AE956" s="65" t="s">
        <v>3028</v>
      </c>
      <c r="AF956" s="65" t="s">
        <v>67</v>
      </c>
      <c r="AG956" s="65" t="s">
        <v>48</v>
      </c>
      <c r="AH956" s="65" t="s">
        <v>3109</v>
      </c>
      <c r="AI956" s="65" t="s">
        <v>48</v>
      </c>
      <c r="AJ956" s="65" t="s">
        <v>48</v>
      </c>
      <c r="AK956" s="65" t="s">
        <v>48</v>
      </c>
      <c r="AL956" s="64" t="s">
        <v>133</v>
      </c>
      <c r="AM956" s="64" t="s">
        <v>134</v>
      </c>
      <c r="AN956" s="64"/>
      <c r="AO956" s="64"/>
      <c r="AP956" s="64" t="s">
        <v>135</v>
      </c>
      <c r="AQ956" s="14" t="s">
        <v>3463</v>
      </c>
    </row>
    <row r="957" spans="1:43" ht="15.65" x14ac:dyDescent="0.3">
      <c r="A957" s="15">
        <v>46134</v>
      </c>
      <c r="B957" s="58" t="s">
        <v>44</v>
      </c>
      <c r="C957" s="59" t="s">
        <v>72</v>
      </c>
      <c r="D957" s="59" t="s">
        <v>46</v>
      </c>
      <c r="E957" s="60">
        <v>9</v>
      </c>
      <c r="F957" s="61" t="s">
        <v>3110</v>
      </c>
      <c r="G957" s="62" t="s">
        <v>48</v>
      </c>
      <c r="H957" s="65" t="s">
        <v>530</v>
      </c>
      <c r="I957" s="65" t="s">
        <v>76</v>
      </c>
      <c r="J957" s="65" t="s">
        <v>77</v>
      </c>
      <c r="K957" s="65" t="s">
        <v>3111</v>
      </c>
      <c r="L957" s="65" t="s">
        <v>3517</v>
      </c>
      <c r="M957" s="65" t="s">
        <v>54</v>
      </c>
      <c r="N957" s="65" t="s">
        <v>350</v>
      </c>
      <c r="O957" s="65" t="s">
        <v>1065</v>
      </c>
      <c r="P957" s="65" t="s">
        <v>3113</v>
      </c>
      <c r="Q957" s="65" t="s">
        <v>83</v>
      </c>
      <c r="R957" s="65" t="s">
        <v>48</v>
      </c>
      <c r="S957" s="65" t="s">
        <v>3114</v>
      </c>
      <c r="T957" s="65" t="s">
        <v>85</v>
      </c>
      <c r="U957" s="65" t="s">
        <v>206</v>
      </c>
      <c r="V957" s="65" t="s">
        <v>48</v>
      </c>
      <c r="W957" s="65" t="s">
        <v>3115</v>
      </c>
      <c r="X957" s="65" t="s">
        <v>86</v>
      </c>
      <c r="Y957" s="65" t="s">
        <v>89</v>
      </c>
      <c r="Z957" s="65" t="s">
        <v>90</v>
      </c>
      <c r="AA957" s="65" t="s">
        <v>63</v>
      </c>
      <c r="AB957" s="65" t="s">
        <v>64</v>
      </c>
      <c r="AC957" s="65" t="s">
        <v>476</v>
      </c>
      <c r="AD957" s="65" t="s">
        <v>44</v>
      </c>
      <c r="AE957" s="65" t="s">
        <v>3116</v>
      </c>
      <c r="AF957" s="65" t="s">
        <v>67</v>
      </c>
      <c r="AG957" s="65" t="s">
        <v>48</v>
      </c>
      <c r="AH957" s="65" t="s">
        <v>3117</v>
      </c>
      <c r="AI957" s="65" t="s">
        <v>48</v>
      </c>
      <c r="AJ957" s="65" t="s">
        <v>48</v>
      </c>
      <c r="AK957" s="65" t="s">
        <v>48</v>
      </c>
      <c r="AL957" s="64" t="s">
        <v>172</v>
      </c>
      <c r="AM957" s="64" t="s">
        <v>1210</v>
      </c>
      <c r="AN957" s="64"/>
      <c r="AO957" s="64" t="s">
        <v>48</v>
      </c>
      <c r="AP957" s="64" t="s">
        <v>1216</v>
      </c>
      <c r="AQ957" s="14" t="s">
        <v>3464</v>
      </c>
    </row>
    <row r="958" spans="1:43" ht="15.65" x14ac:dyDescent="0.3">
      <c r="A958" s="15">
        <v>46134</v>
      </c>
      <c r="B958" s="58" t="s">
        <v>44</v>
      </c>
      <c r="C958" s="59" t="s">
        <v>72</v>
      </c>
      <c r="D958" s="59" t="s">
        <v>46</v>
      </c>
      <c r="E958" s="60">
        <v>12</v>
      </c>
      <c r="F958" s="61" t="s">
        <v>3043</v>
      </c>
      <c r="G958" s="62" t="s">
        <v>74</v>
      </c>
      <c r="H958" s="65" t="s">
        <v>532</v>
      </c>
      <c r="I958" s="65" t="s">
        <v>76</v>
      </c>
      <c r="J958" s="65" t="s">
        <v>77</v>
      </c>
      <c r="K958" s="65" t="s">
        <v>3044</v>
      </c>
      <c r="L958" s="65" t="s">
        <v>3518</v>
      </c>
      <c r="M958" s="65" t="s">
        <v>54</v>
      </c>
      <c r="N958" s="65" t="s">
        <v>202</v>
      </c>
      <c r="O958" s="65" t="s">
        <v>3046</v>
      </c>
      <c r="P958" s="65" t="s">
        <v>3047</v>
      </c>
      <c r="Q958" s="65" t="s">
        <v>83</v>
      </c>
      <c r="R958" s="65" t="s">
        <v>48</v>
      </c>
      <c r="S958" s="65" t="s">
        <v>3048</v>
      </c>
      <c r="T958" s="65" t="s">
        <v>85</v>
      </c>
      <c r="U958" s="65" t="s">
        <v>308</v>
      </c>
      <c r="V958" s="65" t="s">
        <v>48</v>
      </c>
      <c r="W958" s="65" t="s">
        <v>3049</v>
      </c>
      <c r="X958" s="65" t="s">
        <v>254</v>
      </c>
      <c r="Y958" s="65" t="s">
        <v>89</v>
      </c>
      <c r="Z958" s="65" t="s">
        <v>90</v>
      </c>
      <c r="AA958" s="65" t="s">
        <v>63</v>
      </c>
      <c r="AB958" s="65" t="s">
        <v>64</v>
      </c>
      <c r="AC958" s="65" t="s">
        <v>476</v>
      </c>
      <c r="AD958" s="65" t="s">
        <v>44</v>
      </c>
      <c r="AE958" s="65" t="s">
        <v>3050</v>
      </c>
      <c r="AF958" s="65" t="s">
        <v>67</v>
      </c>
      <c r="AG958" s="65" t="s">
        <v>48</v>
      </c>
      <c r="AH958" s="65" t="s">
        <v>3051</v>
      </c>
      <c r="AI958" s="65" t="s">
        <v>48</v>
      </c>
      <c r="AJ958" s="65" t="s">
        <v>48</v>
      </c>
      <c r="AK958" s="65" t="s">
        <v>48</v>
      </c>
      <c r="AL958" s="64" t="s">
        <v>172</v>
      </c>
      <c r="AM958" s="64" t="s">
        <v>134</v>
      </c>
      <c r="AN958" s="64"/>
      <c r="AO958" s="64"/>
      <c r="AP958" s="64" t="s">
        <v>135</v>
      </c>
      <c r="AQ958" s="14" t="s">
        <v>3465</v>
      </c>
    </row>
    <row r="959" spans="1:43" ht="16.3" thickBot="1" x14ac:dyDescent="0.35">
      <c r="A959" s="15">
        <v>46134</v>
      </c>
      <c r="B959" s="58" t="s">
        <v>44</v>
      </c>
      <c r="C959" s="59" t="s">
        <v>72</v>
      </c>
      <c r="D959" s="59" t="s">
        <v>46</v>
      </c>
      <c r="E959" s="60">
        <v>20</v>
      </c>
      <c r="F959" s="61" t="s">
        <v>2396</v>
      </c>
      <c r="G959" s="62" t="s">
        <v>48</v>
      </c>
      <c r="H959" s="65" t="s">
        <v>369</v>
      </c>
      <c r="I959" s="65" t="s">
        <v>76</v>
      </c>
      <c r="J959" s="65" t="s">
        <v>77</v>
      </c>
      <c r="K959" s="65" t="s">
        <v>2793</v>
      </c>
      <c r="L959" s="65" t="s">
        <v>3519</v>
      </c>
      <c r="M959" s="65" t="s">
        <v>54</v>
      </c>
      <c r="N959" s="65" t="s">
        <v>165</v>
      </c>
      <c r="O959" s="65" t="s">
        <v>2399</v>
      </c>
      <c r="P959" s="65" t="s">
        <v>2400</v>
      </c>
      <c r="Q959" s="65" t="s">
        <v>83</v>
      </c>
      <c r="R959" s="65" t="s">
        <v>48</v>
      </c>
      <c r="S959" s="65" t="s">
        <v>2401</v>
      </c>
      <c r="T959" s="65" t="s">
        <v>85</v>
      </c>
      <c r="U959" s="65" t="s">
        <v>291</v>
      </c>
      <c r="V959" s="65" t="s">
        <v>48</v>
      </c>
      <c r="W959" s="65" t="s">
        <v>2402</v>
      </c>
      <c r="X959" s="65" t="s">
        <v>254</v>
      </c>
      <c r="Y959" s="65" t="s">
        <v>89</v>
      </c>
      <c r="Z959" s="65" t="s">
        <v>90</v>
      </c>
      <c r="AA959" s="65" t="s">
        <v>63</v>
      </c>
      <c r="AB959" s="65" t="s">
        <v>64</v>
      </c>
      <c r="AC959" s="65" t="s">
        <v>476</v>
      </c>
      <c r="AD959" s="65" t="s">
        <v>44</v>
      </c>
      <c r="AE959" s="65" t="s">
        <v>2403</v>
      </c>
      <c r="AF959" s="65" t="s">
        <v>67</v>
      </c>
      <c r="AG959" s="65" t="s">
        <v>48</v>
      </c>
      <c r="AH959" s="65" t="s">
        <v>2795</v>
      </c>
      <c r="AI959" s="65" t="s">
        <v>48</v>
      </c>
      <c r="AJ959" s="65" t="s">
        <v>48</v>
      </c>
      <c r="AK959" s="65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4" t="s">
        <v>3466</v>
      </c>
    </row>
    <row r="960" spans="1:43" ht="15.65" x14ac:dyDescent="0.3">
      <c r="A960" s="15">
        <v>46135</v>
      </c>
      <c r="B960" s="58" t="s">
        <v>44</v>
      </c>
      <c r="C960" s="59" t="s">
        <v>72</v>
      </c>
      <c r="D960" s="59" t="s">
        <v>46</v>
      </c>
      <c r="E960" s="60">
        <v>1</v>
      </c>
      <c r="F960" s="61" t="s">
        <v>3557</v>
      </c>
      <c r="G960" s="62" t="s">
        <v>48</v>
      </c>
      <c r="H960" s="63" t="s">
        <v>789</v>
      </c>
      <c r="I960" s="63" t="s">
        <v>76</v>
      </c>
      <c r="J960" s="63" t="s">
        <v>77</v>
      </c>
      <c r="K960" s="63" t="s">
        <v>3558</v>
      </c>
      <c r="L960" s="63" t="s">
        <v>3559</v>
      </c>
      <c r="M960" s="63" t="s">
        <v>54</v>
      </c>
      <c r="N960" s="63" t="s">
        <v>607</v>
      </c>
      <c r="O960" s="63" t="s">
        <v>814</v>
      </c>
      <c r="P960" s="63" t="s">
        <v>3560</v>
      </c>
      <c r="Q960" s="63" t="s">
        <v>83</v>
      </c>
      <c r="R960" s="63" t="s">
        <v>48</v>
      </c>
      <c r="S960" s="63" t="s">
        <v>3561</v>
      </c>
      <c r="T960" s="63" t="s">
        <v>85</v>
      </c>
      <c r="U960" s="63" t="s">
        <v>88</v>
      </c>
      <c r="V960" s="63" t="s">
        <v>48</v>
      </c>
      <c r="W960" s="63" t="s">
        <v>3562</v>
      </c>
      <c r="X960" s="63" t="s">
        <v>130</v>
      </c>
      <c r="Y960" s="63" t="s">
        <v>89</v>
      </c>
      <c r="Z960" s="63" t="s">
        <v>90</v>
      </c>
      <c r="AA960" s="63" t="s">
        <v>63</v>
      </c>
      <c r="AB960" s="63" t="s">
        <v>64</v>
      </c>
      <c r="AC960" s="63" t="s">
        <v>476</v>
      </c>
      <c r="AD960" s="63" t="s">
        <v>44</v>
      </c>
      <c r="AE960" s="63" t="s">
        <v>3563</v>
      </c>
      <c r="AF960" s="63" t="s">
        <v>67</v>
      </c>
      <c r="AG960" s="63" t="s">
        <v>48</v>
      </c>
      <c r="AH960" s="63" t="s">
        <v>3564</v>
      </c>
      <c r="AI960" s="63" t="s">
        <v>48</v>
      </c>
      <c r="AJ960" s="63" t="s">
        <v>48</v>
      </c>
      <c r="AK960" s="63" t="s">
        <v>48</v>
      </c>
      <c r="AL960" s="64" t="s">
        <v>48</v>
      </c>
      <c r="AM960" s="64" t="s">
        <v>48</v>
      </c>
      <c r="AN960" s="64"/>
      <c r="AO960" s="64" t="s">
        <v>48</v>
      </c>
      <c r="AP960" s="64" t="s">
        <v>48</v>
      </c>
      <c r="AQ960" s="14" t="s">
        <v>3465</v>
      </c>
    </row>
    <row r="961" spans="1:43" ht="15.65" x14ac:dyDescent="0.3">
      <c r="A961" s="15">
        <v>46135</v>
      </c>
      <c r="B961" s="58" t="s">
        <v>44</v>
      </c>
      <c r="C961" s="59" t="s">
        <v>45</v>
      </c>
      <c r="D961" s="59" t="s">
        <v>46</v>
      </c>
      <c r="E961" s="60">
        <v>1</v>
      </c>
      <c r="F961" s="61" t="s">
        <v>3565</v>
      </c>
      <c r="G961" s="62" t="s">
        <v>48</v>
      </c>
      <c r="H961" s="63" t="s">
        <v>338</v>
      </c>
      <c r="I961" s="63" t="s">
        <v>97</v>
      </c>
      <c r="J961" s="63" t="s">
        <v>98</v>
      </c>
      <c r="K961" s="63" t="s">
        <v>3566</v>
      </c>
      <c r="L961" s="63" t="s">
        <v>3567</v>
      </c>
      <c r="M961" s="63" t="s">
        <v>54</v>
      </c>
      <c r="N961" s="63" t="s">
        <v>607</v>
      </c>
      <c r="O961" s="63" t="s">
        <v>814</v>
      </c>
      <c r="P961" s="63" t="s">
        <v>3568</v>
      </c>
      <c r="Q961" s="63" t="s">
        <v>57</v>
      </c>
      <c r="R961" s="63" t="s">
        <v>48</v>
      </c>
      <c r="S961" s="63" t="s">
        <v>3569</v>
      </c>
      <c r="T961" s="63" t="s">
        <v>59</v>
      </c>
      <c r="U961" s="63" t="s">
        <v>354</v>
      </c>
      <c r="V961" s="63" t="s">
        <v>48</v>
      </c>
      <c r="W961" s="63" t="s">
        <v>3570</v>
      </c>
      <c r="X961" s="63" t="s">
        <v>228</v>
      </c>
      <c r="Y961" s="63" t="s">
        <v>61</v>
      </c>
      <c r="Z961" s="63" t="s">
        <v>107</v>
      </c>
      <c r="AA961" s="63" t="s">
        <v>63</v>
      </c>
      <c r="AB961" s="63" t="s">
        <v>64</v>
      </c>
      <c r="AC961" s="63" t="s">
        <v>476</v>
      </c>
      <c r="AD961" s="63" t="s">
        <v>44</v>
      </c>
      <c r="AE961" s="63" t="s">
        <v>3563</v>
      </c>
      <c r="AF961" s="63" t="s">
        <v>67</v>
      </c>
      <c r="AG961" s="63" t="s">
        <v>48</v>
      </c>
      <c r="AH961" s="63" t="s">
        <v>3571</v>
      </c>
      <c r="AI961" s="63" t="s">
        <v>48</v>
      </c>
      <c r="AJ961" s="63" t="s">
        <v>48</v>
      </c>
      <c r="AK961" s="63" t="s">
        <v>48</v>
      </c>
      <c r="AL961" s="64" t="s">
        <v>48</v>
      </c>
      <c r="AM961" s="64" t="s">
        <v>48</v>
      </c>
      <c r="AN961" s="64"/>
      <c r="AO961" s="64" t="s">
        <v>48</v>
      </c>
      <c r="AP961" s="64" t="s">
        <v>48</v>
      </c>
      <c r="AQ961" s="14" t="s">
        <v>3464</v>
      </c>
    </row>
    <row r="962" spans="1:43" ht="15.65" x14ac:dyDescent="0.3">
      <c r="A962" s="15">
        <v>46135</v>
      </c>
      <c r="B962" s="58" t="s">
        <v>44</v>
      </c>
      <c r="C962" s="59" t="s">
        <v>45</v>
      </c>
      <c r="D962" s="59" t="s">
        <v>46</v>
      </c>
      <c r="E962" s="60">
        <v>2</v>
      </c>
      <c r="F962" s="61" t="s">
        <v>3480</v>
      </c>
      <c r="G962" s="62" t="s">
        <v>48</v>
      </c>
      <c r="H962" s="65" t="s">
        <v>756</v>
      </c>
      <c r="I962" s="65" t="s">
        <v>97</v>
      </c>
      <c r="J962" s="65" t="s">
        <v>98</v>
      </c>
      <c r="K962" s="65" t="s">
        <v>3481</v>
      </c>
      <c r="L962" s="65" t="s">
        <v>3572</v>
      </c>
      <c r="M962" s="65" t="s">
        <v>54</v>
      </c>
      <c r="N962" s="65" t="s">
        <v>202</v>
      </c>
      <c r="O962" s="65" t="s">
        <v>1412</v>
      </c>
      <c r="P962" s="65" t="s">
        <v>3483</v>
      </c>
      <c r="Q962" s="65" t="s">
        <v>57</v>
      </c>
      <c r="R962" s="65" t="s">
        <v>48</v>
      </c>
      <c r="S962" s="65" t="s">
        <v>3484</v>
      </c>
      <c r="T962" s="65" t="s">
        <v>59</v>
      </c>
      <c r="U962" s="65" t="s">
        <v>291</v>
      </c>
      <c r="V962" s="65" t="s">
        <v>48</v>
      </c>
      <c r="W962" s="65" t="s">
        <v>1423</v>
      </c>
      <c r="X962" s="65" t="s">
        <v>106</v>
      </c>
      <c r="Y962" s="65" t="s">
        <v>61</v>
      </c>
      <c r="Z962" s="65" t="s">
        <v>107</v>
      </c>
      <c r="AA962" s="65" t="s">
        <v>63</v>
      </c>
      <c r="AB962" s="65" t="s">
        <v>64</v>
      </c>
      <c r="AC962" s="65" t="s">
        <v>476</v>
      </c>
      <c r="AD962" s="65" t="s">
        <v>44</v>
      </c>
      <c r="AE962" s="65" t="s">
        <v>3485</v>
      </c>
      <c r="AF962" s="65" t="s">
        <v>67</v>
      </c>
      <c r="AG962" s="65" t="s">
        <v>48</v>
      </c>
      <c r="AH962" s="65" t="s">
        <v>3486</v>
      </c>
      <c r="AI962" s="65" t="s">
        <v>48</v>
      </c>
      <c r="AJ962" s="65" t="s">
        <v>48</v>
      </c>
      <c r="AK962" s="65" t="s">
        <v>48</v>
      </c>
      <c r="AL962" s="64" t="s">
        <v>93</v>
      </c>
      <c r="AM962" s="64" t="s">
        <v>48</v>
      </c>
      <c r="AN962" s="64"/>
      <c r="AO962" s="64" t="s">
        <v>48</v>
      </c>
      <c r="AP962" s="64" t="s">
        <v>48</v>
      </c>
      <c r="AQ962" s="14" t="s">
        <v>3464</v>
      </c>
    </row>
    <row r="963" spans="1:43" ht="15.65" x14ac:dyDescent="0.3">
      <c r="A963" s="15">
        <v>46135</v>
      </c>
      <c r="B963" s="58" t="s">
        <v>44</v>
      </c>
      <c r="C963" s="59" t="s">
        <v>72</v>
      </c>
      <c r="D963" s="59" t="s">
        <v>46</v>
      </c>
      <c r="E963" s="60">
        <v>2</v>
      </c>
      <c r="F963" s="61" t="s">
        <v>3509</v>
      </c>
      <c r="G963" s="62" t="s">
        <v>74</v>
      </c>
      <c r="H963" s="65" t="s">
        <v>671</v>
      </c>
      <c r="I963" s="65" t="s">
        <v>76</v>
      </c>
      <c r="J963" s="65" t="s">
        <v>77</v>
      </c>
      <c r="K963" s="65" t="s">
        <v>3510</v>
      </c>
      <c r="L963" s="65" t="s">
        <v>3573</v>
      </c>
      <c r="M963" s="65" t="s">
        <v>54</v>
      </c>
      <c r="N963" s="65" t="s">
        <v>237</v>
      </c>
      <c r="O963" s="65" t="s">
        <v>2912</v>
      </c>
      <c r="P963" s="65" t="s">
        <v>3512</v>
      </c>
      <c r="Q963" s="65" t="s">
        <v>83</v>
      </c>
      <c r="R963" s="65" t="s">
        <v>48</v>
      </c>
      <c r="S963" s="65" t="s">
        <v>3513</v>
      </c>
      <c r="T963" s="65" t="s">
        <v>85</v>
      </c>
      <c r="U963" s="65" t="s">
        <v>88</v>
      </c>
      <c r="V963" s="65" t="s">
        <v>48</v>
      </c>
      <c r="W963" s="65" t="s">
        <v>3514</v>
      </c>
      <c r="X963" s="65" t="s">
        <v>130</v>
      </c>
      <c r="Y963" s="65" t="s">
        <v>89</v>
      </c>
      <c r="Z963" s="65" t="s">
        <v>90</v>
      </c>
      <c r="AA963" s="65" t="s">
        <v>63</v>
      </c>
      <c r="AB963" s="65" t="s">
        <v>64</v>
      </c>
      <c r="AC963" s="65" t="s">
        <v>476</v>
      </c>
      <c r="AD963" s="65" t="s">
        <v>44</v>
      </c>
      <c r="AE963" s="65" t="s">
        <v>3512</v>
      </c>
      <c r="AF963" s="65" t="s">
        <v>67</v>
      </c>
      <c r="AG963" s="65" t="s">
        <v>48</v>
      </c>
      <c r="AH963" s="65" t="s">
        <v>3515</v>
      </c>
      <c r="AI963" s="65" t="s">
        <v>48</v>
      </c>
      <c r="AJ963" s="65" t="s">
        <v>48</v>
      </c>
      <c r="AK963" s="65" t="s">
        <v>48</v>
      </c>
      <c r="AL963" s="64" t="s">
        <v>93</v>
      </c>
      <c r="AM963" s="64" t="s">
        <v>48</v>
      </c>
      <c r="AN963" s="64"/>
      <c r="AO963" s="64" t="s">
        <v>48</v>
      </c>
      <c r="AP963" s="64" t="s">
        <v>48</v>
      </c>
      <c r="AQ963" s="14" t="s">
        <v>3465</v>
      </c>
    </row>
    <row r="964" spans="1:43" ht="15.65" x14ac:dyDescent="0.3">
      <c r="A964" s="15">
        <v>46135</v>
      </c>
      <c r="B964" s="58" t="s">
        <v>44</v>
      </c>
      <c r="C964" s="59" t="s">
        <v>72</v>
      </c>
      <c r="D964" s="59" t="s">
        <v>46</v>
      </c>
      <c r="E964" s="60">
        <v>10</v>
      </c>
      <c r="F964" s="61" t="s">
        <v>3021</v>
      </c>
      <c r="G964" s="62" t="s">
        <v>48</v>
      </c>
      <c r="H964" s="65" t="s">
        <v>528</v>
      </c>
      <c r="I964" s="65" t="s">
        <v>76</v>
      </c>
      <c r="J964" s="65" t="s">
        <v>77</v>
      </c>
      <c r="K964" s="65" t="s">
        <v>3106</v>
      </c>
      <c r="L964" s="65" t="s">
        <v>3574</v>
      </c>
      <c r="M964" s="65" t="s">
        <v>54</v>
      </c>
      <c r="N964" s="65" t="s">
        <v>350</v>
      </c>
      <c r="O964" s="65" t="s">
        <v>3024</v>
      </c>
      <c r="P964" s="65" t="s">
        <v>3025</v>
      </c>
      <c r="Q964" s="65" t="s">
        <v>83</v>
      </c>
      <c r="R964" s="65" t="s">
        <v>48</v>
      </c>
      <c r="S964" s="65" t="s">
        <v>3108</v>
      </c>
      <c r="T964" s="65" t="s">
        <v>85</v>
      </c>
      <c r="U964" s="65" t="s">
        <v>206</v>
      </c>
      <c r="V964" s="65" t="s">
        <v>48</v>
      </c>
      <c r="W964" s="65" t="s">
        <v>3027</v>
      </c>
      <c r="X964" s="65" t="s">
        <v>130</v>
      </c>
      <c r="Y964" s="65" t="s">
        <v>89</v>
      </c>
      <c r="Z964" s="65" t="s">
        <v>90</v>
      </c>
      <c r="AA964" s="65" t="s">
        <v>63</v>
      </c>
      <c r="AB964" s="65" t="s">
        <v>64</v>
      </c>
      <c r="AC964" s="65" t="s">
        <v>476</v>
      </c>
      <c r="AD964" s="65" t="s">
        <v>44</v>
      </c>
      <c r="AE964" s="65" t="s">
        <v>3028</v>
      </c>
      <c r="AF964" s="65" t="s">
        <v>67</v>
      </c>
      <c r="AG964" s="65" t="s">
        <v>48</v>
      </c>
      <c r="AH964" s="65" t="s">
        <v>3109</v>
      </c>
      <c r="AI964" s="65" t="s">
        <v>48</v>
      </c>
      <c r="AJ964" s="65" t="s">
        <v>48</v>
      </c>
      <c r="AK964" s="65" t="s">
        <v>48</v>
      </c>
      <c r="AL964" s="64" t="s">
        <v>133</v>
      </c>
      <c r="AM964" s="64" t="s">
        <v>134</v>
      </c>
      <c r="AN964" s="64"/>
      <c r="AO964" s="64"/>
      <c r="AP964" s="64" t="s">
        <v>135</v>
      </c>
      <c r="AQ964" s="14" t="s">
        <v>3463</v>
      </c>
    </row>
    <row r="965" spans="1:43" ht="15.65" x14ac:dyDescent="0.3">
      <c r="A965" s="15">
        <v>46135</v>
      </c>
      <c r="B965" s="58" t="s">
        <v>44</v>
      </c>
      <c r="C965" s="59" t="s">
        <v>72</v>
      </c>
      <c r="D965" s="59" t="s">
        <v>46</v>
      </c>
      <c r="E965" s="60">
        <v>10</v>
      </c>
      <c r="F965" s="61" t="s">
        <v>3110</v>
      </c>
      <c r="G965" s="62" t="s">
        <v>48</v>
      </c>
      <c r="H965" s="65" t="s">
        <v>211</v>
      </c>
      <c r="I965" s="65" t="s">
        <v>76</v>
      </c>
      <c r="J965" s="65" t="s">
        <v>77</v>
      </c>
      <c r="K965" s="65" t="s">
        <v>3111</v>
      </c>
      <c r="L965" s="65" t="s">
        <v>3575</v>
      </c>
      <c r="M965" s="65" t="s">
        <v>54</v>
      </c>
      <c r="N965" s="65" t="s">
        <v>350</v>
      </c>
      <c r="O965" s="65" t="s">
        <v>1065</v>
      </c>
      <c r="P965" s="65" t="s">
        <v>3113</v>
      </c>
      <c r="Q965" s="65" t="s">
        <v>83</v>
      </c>
      <c r="R965" s="65" t="s">
        <v>48</v>
      </c>
      <c r="S965" s="65" t="s">
        <v>3114</v>
      </c>
      <c r="T965" s="65" t="s">
        <v>85</v>
      </c>
      <c r="U965" s="65" t="s">
        <v>206</v>
      </c>
      <c r="V965" s="65" t="s">
        <v>48</v>
      </c>
      <c r="W965" s="65" t="s">
        <v>3115</v>
      </c>
      <c r="X965" s="65" t="s">
        <v>86</v>
      </c>
      <c r="Y965" s="65" t="s">
        <v>89</v>
      </c>
      <c r="Z965" s="65" t="s">
        <v>90</v>
      </c>
      <c r="AA965" s="65" t="s">
        <v>63</v>
      </c>
      <c r="AB965" s="65" t="s">
        <v>64</v>
      </c>
      <c r="AC965" s="65" t="s">
        <v>476</v>
      </c>
      <c r="AD965" s="65" t="s">
        <v>44</v>
      </c>
      <c r="AE965" s="65" t="s">
        <v>3116</v>
      </c>
      <c r="AF965" s="65" t="s">
        <v>67</v>
      </c>
      <c r="AG965" s="65" t="s">
        <v>48</v>
      </c>
      <c r="AH965" s="65" t="s">
        <v>3117</v>
      </c>
      <c r="AI965" s="65" t="s">
        <v>48</v>
      </c>
      <c r="AJ965" s="65" t="s">
        <v>48</v>
      </c>
      <c r="AK965" s="65" t="s">
        <v>48</v>
      </c>
      <c r="AL965" s="64" t="s">
        <v>172</v>
      </c>
      <c r="AM965" s="64" t="s">
        <v>134</v>
      </c>
      <c r="AN965" s="64"/>
      <c r="AO965" s="64"/>
      <c r="AP965" s="64" t="s">
        <v>135</v>
      </c>
      <c r="AQ965" s="14" t="s">
        <v>3465</v>
      </c>
    </row>
    <row r="966" spans="1:43" ht="16.3" thickBot="1" x14ac:dyDescent="0.35">
      <c r="A966" s="15">
        <v>46135</v>
      </c>
      <c r="B966" s="58" t="s">
        <v>44</v>
      </c>
      <c r="C966" s="59" t="s">
        <v>72</v>
      </c>
      <c r="D966" s="59" t="s">
        <v>46</v>
      </c>
      <c r="E966" s="60">
        <v>21</v>
      </c>
      <c r="F966" s="61" t="s">
        <v>2396</v>
      </c>
      <c r="G966" s="62" t="s">
        <v>48</v>
      </c>
      <c r="H966" s="65" t="s">
        <v>681</v>
      </c>
      <c r="I966" s="65" t="s">
        <v>76</v>
      </c>
      <c r="J966" s="65" t="s">
        <v>77</v>
      </c>
      <c r="K966" s="65" t="s">
        <v>2793</v>
      </c>
      <c r="L966" s="65" t="s">
        <v>3576</v>
      </c>
      <c r="M966" s="65" t="s">
        <v>54</v>
      </c>
      <c r="N966" s="65" t="s">
        <v>165</v>
      </c>
      <c r="O966" s="65" t="s">
        <v>2399</v>
      </c>
      <c r="P966" s="65" t="s">
        <v>2400</v>
      </c>
      <c r="Q966" s="65" t="s">
        <v>83</v>
      </c>
      <c r="R966" s="65" t="s">
        <v>48</v>
      </c>
      <c r="S966" s="65" t="s">
        <v>2401</v>
      </c>
      <c r="T966" s="65" t="s">
        <v>85</v>
      </c>
      <c r="U966" s="65" t="s">
        <v>291</v>
      </c>
      <c r="V966" s="65" t="s">
        <v>48</v>
      </c>
      <c r="W966" s="65" t="s">
        <v>2402</v>
      </c>
      <c r="X966" s="65" t="s">
        <v>254</v>
      </c>
      <c r="Y966" s="65" t="s">
        <v>89</v>
      </c>
      <c r="Z966" s="65" t="s">
        <v>90</v>
      </c>
      <c r="AA966" s="65" t="s">
        <v>63</v>
      </c>
      <c r="AB966" s="65" t="s">
        <v>64</v>
      </c>
      <c r="AC966" s="65" t="s">
        <v>476</v>
      </c>
      <c r="AD966" s="65" t="s">
        <v>44</v>
      </c>
      <c r="AE966" s="65" t="s">
        <v>2403</v>
      </c>
      <c r="AF966" s="65" t="s">
        <v>67</v>
      </c>
      <c r="AG966" s="65" t="s">
        <v>48</v>
      </c>
      <c r="AH966" s="65" t="s">
        <v>2795</v>
      </c>
      <c r="AI966" s="65" t="s">
        <v>48</v>
      </c>
      <c r="AJ966" s="65" t="s">
        <v>48</v>
      </c>
      <c r="AK966" s="65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4" t="s">
        <v>3466</v>
      </c>
    </row>
  </sheetData>
  <autoFilter ref="A1:AU885" xr:uid="{00000000-0001-0000-0700-000000000000}"/>
  <phoneticPr fontId="2" type="noConversion"/>
  <conditionalFormatting sqref="E2:E11">
    <cfRule type="cellIs" dxfId="78" priority="80" operator="between">
      <formula>16</formula>
      <formula>99999</formula>
    </cfRule>
  </conditionalFormatting>
  <conditionalFormatting sqref="E12:E24">
    <cfRule type="cellIs" dxfId="77" priority="79" operator="between">
      <formula>16</formula>
      <formula>99999</formula>
    </cfRule>
  </conditionalFormatting>
  <conditionalFormatting sqref="E25:E36">
    <cfRule type="cellIs" dxfId="76" priority="78" operator="between">
      <formula>16</formula>
      <formula>99999</formula>
    </cfRule>
  </conditionalFormatting>
  <conditionalFormatting sqref="E37:E48">
    <cfRule type="cellIs" dxfId="75" priority="77" operator="between">
      <formula>16</formula>
      <formula>99999</formula>
    </cfRule>
  </conditionalFormatting>
  <conditionalFormatting sqref="E49:E59">
    <cfRule type="cellIs" dxfId="74" priority="76" operator="between">
      <formula>16</formula>
      <formula>99999</formula>
    </cfRule>
  </conditionalFormatting>
  <conditionalFormatting sqref="E60:E72">
    <cfRule type="cellIs" dxfId="73" priority="75" operator="between">
      <formula>16</formula>
      <formula>99999</formula>
    </cfRule>
  </conditionalFormatting>
  <conditionalFormatting sqref="E73:E86">
    <cfRule type="cellIs" dxfId="72" priority="74" operator="between">
      <formula>16</formula>
      <formula>99999</formula>
    </cfRule>
  </conditionalFormatting>
  <conditionalFormatting sqref="E87:E112">
    <cfRule type="cellIs" dxfId="71" priority="73" operator="between">
      <formula>16</formula>
      <formula>99999</formula>
    </cfRule>
  </conditionalFormatting>
  <conditionalFormatting sqref="E113:E126">
    <cfRule type="cellIs" dxfId="70" priority="72" operator="between">
      <formula>16</formula>
      <formula>99999</formula>
    </cfRule>
  </conditionalFormatting>
  <conditionalFormatting sqref="E127:E140">
    <cfRule type="cellIs" dxfId="69" priority="71" operator="between">
      <formula>16</formula>
      <formula>99999</formula>
    </cfRule>
  </conditionalFormatting>
  <conditionalFormatting sqref="E141:E154">
    <cfRule type="cellIs" dxfId="68" priority="70" operator="between">
      <formula>16</formula>
      <formula>99999</formula>
    </cfRule>
  </conditionalFormatting>
  <conditionalFormatting sqref="E155:E166">
    <cfRule type="cellIs" dxfId="67" priority="69" operator="between">
      <formula>16</formula>
      <formula>99999</formula>
    </cfRule>
  </conditionalFormatting>
  <conditionalFormatting sqref="E167:E181">
    <cfRule type="cellIs" dxfId="66" priority="68" operator="between">
      <formula>16</formula>
      <formula>99999</formula>
    </cfRule>
  </conditionalFormatting>
  <conditionalFormatting sqref="E182:E199">
    <cfRule type="cellIs" dxfId="65" priority="67" operator="between">
      <formula>16</formula>
      <formula>99999</formula>
    </cfRule>
  </conditionalFormatting>
  <conditionalFormatting sqref="E200:E214">
    <cfRule type="cellIs" dxfId="64" priority="66" operator="between">
      <formula>16</formula>
      <formula>99999</formula>
    </cfRule>
  </conditionalFormatting>
  <conditionalFormatting sqref="E215:E234">
    <cfRule type="cellIs" dxfId="63" priority="65" operator="between">
      <formula>16</formula>
      <formula>99999</formula>
    </cfRule>
  </conditionalFormatting>
  <conditionalFormatting sqref="E235:E249">
    <cfRule type="cellIs" dxfId="62" priority="64" operator="between">
      <formula>16</formula>
      <formula>99999</formula>
    </cfRule>
  </conditionalFormatting>
  <conditionalFormatting sqref="E250:E271">
    <cfRule type="cellIs" dxfId="61" priority="63" operator="between">
      <formula>16</formula>
      <formula>99999</formula>
    </cfRule>
  </conditionalFormatting>
  <conditionalFormatting sqref="E272:E285">
    <cfRule type="cellIs" dxfId="60" priority="62" operator="between">
      <formula>16</formula>
      <formula>99999</formula>
    </cfRule>
  </conditionalFormatting>
  <conditionalFormatting sqref="E286:E293">
    <cfRule type="cellIs" dxfId="59" priority="61" operator="between">
      <formula>16</formula>
      <formula>99999</formula>
    </cfRule>
  </conditionalFormatting>
  <conditionalFormatting sqref="E294:E304">
    <cfRule type="cellIs" dxfId="58" priority="60" operator="between">
      <formula>16</formula>
      <formula>99999</formula>
    </cfRule>
  </conditionalFormatting>
  <conditionalFormatting sqref="E305:E313">
    <cfRule type="cellIs" dxfId="57" priority="59" operator="between">
      <formula>16</formula>
      <formula>99999</formula>
    </cfRule>
  </conditionalFormatting>
  <conditionalFormatting sqref="E314:E325">
    <cfRule type="cellIs" dxfId="56" priority="58" operator="between">
      <formula>16</formula>
      <formula>99999</formula>
    </cfRule>
  </conditionalFormatting>
  <conditionalFormatting sqref="E326:E345">
    <cfRule type="cellIs" dxfId="55" priority="57" operator="between">
      <formula>16</formula>
      <formula>99999</formula>
    </cfRule>
  </conditionalFormatting>
  <conditionalFormatting sqref="E346:E355">
    <cfRule type="cellIs" dxfId="54" priority="56" operator="between">
      <formula>16</formula>
      <formula>99999</formula>
    </cfRule>
  </conditionalFormatting>
  <conditionalFormatting sqref="E356:E364">
    <cfRule type="cellIs" dxfId="53" priority="55" operator="between">
      <formula>16</formula>
      <formula>99999</formula>
    </cfRule>
  </conditionalFormatting>
  <conditionalFormatting sqref="E365:E374">
    <cfRule type="cellIs" dxfId="52" priority="54" operator="between">
      <formula>16</formula>
      <formula>99999</formula>
    </cfRule>
  </conditionalFormatting>
  <conditionalFormatting sqref="E375:E398">
    <cfRule type="cellIs" dxfId="51" priority="53" operator="between">
      <formula>16</formula>
      <formula>99999</formula>
    </cfRule>
  </conditionalFormatting>
  <conditionalFormatting sqref="E399:E414">
    <cfRule type="cellIs" dxfId="50" priority="52" operator="between">
      <formula>16</formula>
      <formula>99999</formula>
    </cfRule>
  </conditionalFormatting>
  <conditionalFormatting sqref="E415:E424">
    <cfRule type="cellIs" dxfId="49" priority="51" operator="between">
      <formula>16</formula>
      <formula>99999</formula>
    </cfRule>
  </conditionalFormatting>
  <conditionalFormatting sqref="E425:E436">
    <cfRule type="cellIs" dxfId="48" priority="50" operator="between">
      <formula>16</formula>
      <formula>99999</formula>
    </cfRule>
  </conditionalFormatting>
  <conditionalFormatting sqref="E437:E447">
    <cfRule type="cellIs" dxfId="47" priority="49" operator="between">
      <formula>16</formula>
      <formula>99999</formula>
    </cfRule>
  </conditionalFormatting>
  <conditionalFormatting sqref="E448:E462">
    <cfRule type="cellIs" dxfId="46" priority="48" operator="between">
      <formula>16</formula>
      <formula>99999</formula>
    </cfRule>
  </conditionalFormatting>
  <conditionalFormatting sqref="E463:E478">
    <cfRule type="cellIs" dxfId="45" priority="47" operator="between">
      <formula>16</formula>
      <formula>99999</formula>
    </cfRule>
  </conditionalFormatting>
  <conditionalFormatting sqref="E479:E496">
    <cfRule type="cellIs" dxfId="44" priority="46" operator="between">
      <formula>16</formula>
      <formula>99999</formula>
    </cfRule>
  </conditionalFormatting>
  <conditionalFormatting sqref="E497:E507">
    <cfRule type="cellIs" dxfId="43" priority="45" operator="between">
      <formula>16</formula>
      <formula>99999</formula>
    </cfRule>
  </conditionalFormatting>
  <conditionalFormatting sqref="E508:E529">
    <cfRule type="cellIs" dxfId="42" priority="44" operator="between">
      <formula>16</formula>
      <formula>99999</formula>
    </cfRule>
  </conditionalFormatting>
  <conditionalFormatting sqref="E530:E536">
    <cfRule type="cellIs" dxfId="41" priority="43" operator="between">
      <formula>16</formula>
      <formula>99999</formula>
    </cfRule>
  </conditionalFormatting>
  <conditionalFormatting sqref="E537:E546">
    <cfRule type="cellIs" dxfId="40" priority="42" operator="between">
      <formula>16</formula>
      <formula>99999</formula>
    </cfRule>
  </conditionalFormatting>
  <conditionalFormatting sqref="E547:E562">
    <cfRule type="cellIs" dxfId="39" priority="41" operator="between">
      <formula>16</formula>
      <formula>99999</formula>
    </cfRule>
  </conditionalFormatting>
  <conditionalFormatting sqref="E563:E572">
    <cfRule type="cellIs" dxfId="38" priority="40" operator="between">
      <formula>16</formula>
      <formula>99999</formula>
    </cfRule>
  </conditionalFormatting>
  <conditionalFormatting sqref="E573:E581">
    <cfRule type="cellIs" dxfId="37" priority="39" operator="between">
      <formula>16</formula>
      <formula>99999</formula>
    </cfRule>
  </conditionalFormatting>
  <conditionalFormatting sqref="E582:E591">
    <cfRule type="cellIs" dxfId="36" priority="38" operator="between">
      <formula>16</formula>
      <formula>99999</formula>
    </cfRule>
  </conditionalFormatting>
  <conditionalFormatting sqref="E592:E601">
    <cfRule type="cellIs" dxfId="35" priority="37" operator="between">
      <formula>16</formula>
      <formula>99999</formula>
    </cfRule>
  </conditionalFormatting>
  <conditionalFormatting sqref="E602:E613">
    <cfRule type="cellIs" dxfId="34" priority="36" operator="between">
      <formula>16</formula>
      <formula>99999</formula>
    </cfRule>
  </conditionalFormatting>
  <conditionalFormatting sqref="E614:E623">
    <cfRule type="cellIs" dxfId="33" priority="35" operator="between">
      <formula>16</formula>
      <formula>99999</formula>
    </cfRule>
  </conditionalFormatting>
  <conditionalFormatting sqref="E624:E633">
    <cfRule type="cellIs" dxfId="32" priority="34" operator="between">
      <formula>16</formula>
      <formula>99999</formula>
    </cfRule>
  </conditionalFormatting>
  <conditionalFormatting sqref="E634:E642">
    <cfRule type="cellIs" dxfId="31" priority="33" operator="between">
      <formula>16</formula>
      <formula>99999</formula>
    </cfRule>
  </conditionalFormatting>
  <conditionalFormatting sqref="E643:E650">
    <cfRule type="cellIs" dxfId="30" priority="32" operator="between">
      <formula>16</formula>
      <formula>99999</formula>
    </cfRule>
  </conditionalFormatting>
  <conditionalFormatting sqref="E651:E661">
    <cfRule type="cellIs" dxfId="29" priority="31" operator="between">
      <formula>16</formula>
      <formula>99999</formula>
    </cfRule>
  </conditionalFormatting>
  <conditionalFormatting sqref="E662:E679">
    <cfRule type="cellIs" dxfId="28" priority="30" operator="between">
      <formula>16</formula>
      <formula>99999</formula>
    </cfRule>
  </conditionalFormatting>
  <conditionalFormatting sqref="E680:E696">
    <cfRule type="cellIs" dxfId="27" priority="29" operator="between">
      <formula>16</formula>
      <formula>99999</formula>
    </cfRule>
  </conditionalFormatting>
  <conditionalFormatting sqref="E697:E707">
    <cfRule type="cellIs" dxfId="26" priority="28" operator="between">
      <formula>16</formula>
      <formula>99999</formula>
    </cfRule>
  </conditionalFormatting>
  <conditionalFormatting sqref="E743:E750">
    <cfRule type="cellIs" dxfId="25" priority="27" operator="between">
      <formula>16</formula>
      <formula>99999</formula>
    </cfRule>
  </conditionalFormatting>
  <conditionalFormatting sqref="E708:E714">
    <cfRule type="cellIs" dxfId="24" priority="26" operator="between">
      <formula>16</formula>
      <formula>99999</formula>
    </cfRule>
  </conditionalFormatting>
  <conditionalFormatting sqref="E715:E722">
    <cfRule type="cellIs" dxfId="23" priority="25" operator="between">
      <formula>16</formula>
      <formula>99999</formula>
    </cfRule>
  </conditionalFormatting>
  <conditionalFormatting sqref="E723:E734">
    <cfRule type="cellIs" dxfId="22" priority="24" operator="between">
      <formula>16</formula>
      <formula>99999</formula>
    </cfRule>
  </conditionalFormatting>
  <conditionalFormatting sqref="E735:E750">
    <cfRule type="cellIs" dxfId="21" priority="23" operator="between">
      <formula>16</formula>
      <formula>99999</formula>
    </cfRule>
  </conditionalFormatting>
  <conditionalFormatting sqref="E751:E756">
    <cfRule type="cellIs" dxfId="20" priority="22" operator="between">
      <formula>16</formula>
      <formula>99999</formula>
    </cfRule>
  </conditionalFormatting>
  <conditionalFormatting sqref="E757:E762">
    <cfRule type="cellIs" dxfId="19" priority="21" operator="between">
      <formula>16</formula>
      <formula>99999</formula>
    </cfRule>
  </conditionalFormatting>
  <conditionalFormatting sqref="E763:E770">
    <cfRule type="cellIs" dxfId="18" priority="20" operator="between">
      <formula>16</formula>
      <formula>99999</formula>
    </cfRule>
  </conditionalFormatting>
  <conditionalFormatting sqref="E771:E782">
    <cfRule type="cellIs" dxfId="17" priority="19" operator="between">
      <formula>16</formula>
      <formula>99999</formula>
    </cfRule>
  </conditionalFormatting>
  <conditionalFormatting sqref="E783:E792">
    <cfRule type="cellIs" dxfId="16" priority="18" operator="between">
      <formula>16</formula>
      <formula>99999</formula>
    </cfRule>
  </conditionalFormatting>
  <conditionalFormatting sqref="E793:E805">
    <cfRule type="cellIs" dxfId="15" priority="17" operator="between">
      <formula>16</formula>
      <formula>99999</formula>
    </cfRule>
  </conditionalFormatting>
  <conditionalFormatting sqref="E806:E826">
    <cfRule type="cellIs" dxfId="14" priority="16" operator="between">
      <formula>16</formula>
      <formula>99999</formula>
    </cfRule>
  </conditionalFormatting>
  <conditionalFormatting sqref="E827:E839">
    <cfRule type="cellIs" dxfId="13" priority="15" operator="between">
      <formula>16</formula>
      <formula>99999</formula>
    </cfRule>
  </conditionalFormatting>
  <conditionalFormatting sqref="E840:E849">
    <cfRule type="cellIs" dxfId="12" priority="14" operator="between">
      <formula>16</formula>
      <formula>99999</formula>
    </cfRule>
  </conditionalFormatting>
  <conditionalFormatting sqref="E850:E859">
    <cfRule type="cellIs" dxfId="11" priority="11" operator="between">
      <formula>16</formula>
      <formula>99999</formula>
    </cfRule>
  </conditionalFormatting>
  <conditionalFormatting sqref="E860:E868">
    <cfRule type="cellIs" dxfId="10" priority="10" operator="between">
      <formula>16</formula>
      <formula>99999</formula>
    </cfRule>
  </conditionalFormatting>
  <conditionalFormatting sqref="E869:E877">
    <cfRule type="cellIs" dxfId="9" priority="9" operator="between">
      <formula>16</formula>
      <formula>99999</formula>
    </cfRule>
  </conditionalFormatting>
  <conditionalFormatting sqref="E878:E885">
    <cfRule type="cellIs" dxfId="8" priority="8" operator="between">
      <formula>16</formula>
      <formula>99999</formula>
    </cfRule>
  </conditionalFormatting>
  <conditionalFormatting sqref="E886:E897">
    <cfRule type="cellIs" dxfId="7" priority="7" operator="between">
      <formula>16</formula>
      <formula>99999</formula>
    </cfRule>
  </conditionalFormatting>
  <conditionalFormatting sqref="E898:E909">
    <cfRule type="cellIs" dxfId="6" priority="6" operator="between">
      <formula>16</formula>
      <formula>99999</formula>
    </cfRule>
  </conditionalFormatting>
  <conditionalFormatting sqref="E910:E921">
    <cfRule type="cellIs" dxfId="5" priority="5" operator="between">
      <formula>16</formula>
      <formula>99999</formula>
    </cfRule>
  </conditionalFormatting>
  <conditionalFormatting sqref="E922:E935">
    <cfRule type="cellIs" dxfId="4" priority="4" operator="between">
      <formula>16</formula>
      <formula>99999</formula>
    </cfRule>
  </conditionalFormatting>
  <conditionalFormatting sqref="E936:E947">
    <cfRule type="cellIs" dxfId="3" priority="3" operator="between">
      <formula>16</formula>
      <formula>99999</formula>
    </cfRule>
  </conditionalFormatting>
  <conditionalFormatting sqref="E948:E959">
    <cfRule type="cellIs" dxfId="2" priority="2" operator="between">
      <formula>16</formula>
      <formula>99999</formula>
    </cfRule>
  </conditionalFormatting>
  <conditionalFormatting sqref="E960:E966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22"/>
  <sheetViews>
    <sheetView workbookViewId="0">
      <selection activeCell="D30" sqref="D30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5" width="41.21875" bestFit="1" customWidth="1"/>
    <col min="6" max="6" width="9.88671875" bestFit="1" customWidth="1"/>
    <col min="7" max="7" width="8.21875" bestFit="1" customWidth="1"/>
    <col min="8" max="8" width="20.77734375" bestFit="1" customWidth="1"/>
    <col min="9" max="9" width="19.6640625" bestFit="1" customWidth="1"/>
  </cols>
  <sheetData>
    <row r="1" spans="1:9" x14ac:dyDescent="0.3">
      <c r="A1" s="68" t="s">
        <v>3054</v>
      </c>
      <c r="B1" s="68" t="s">
        <v>4</v>
      </c>
      <c r="C1" s="69" t="s">
        <v>3055</v>
      </c>
      <c r="D1" s="69" t="s">
        <v>3056</v>
      </c>
      <c r="E1" s="69" t="s">
        <v>3057</v>
      </c>
      <c r="F1" s="69" t="s">
        <v>3058</v>
      </c>
      <c r="G1" s="69" t="s">
        <v>3059</v>
      </c>
      <c r="H1" s="69" t="s">
        <v>3060</v>
      </c>
      <c r="I1" s="69" t="s">
        <v>3061</v>
      </c>
    </row>
    <row r="2" spans="1:9" x14ac:dyDescent="0.3">
      <c r="A2" s="70" t="s">
        <v>3062</v>
      </c>
      <c r="B2" s="71">
        <v>9</v>
      </c>
      <c r="C2" s="72" t="s">
        <v>3067</v>
      </c>
      <c r="D2" s="72" t="s">
        <v>3162</v>
      </c>
      <c r="E2" s="72" t="s">
        <v>3064</v>
      </c>
      <c r="F2" s="72" t="s">
        <v>3065</v>
      </c>
      <c r="G2" s="72" t="s">
        <v>3066</v>
      </c>
      <c r="H2" s="72" t="s">
        <v>3068</v>
      </c>
      <c r="I2" s="72" t="s">
        <v>3163</v>
      </c>
    </row>
    <row r="3" spans="1:9" x14ac:dyDescent="0.3">
      <c r="A3" s="70" t="s">
        <v>3062</v>
      </c>
      <c r="B3" s="71">
        <v>9</v>
      </c>
      <c r="C3" s="72" t="s">
        <v>3063</v>
      </c>
      <c r="D3" s="72" t="s">
        <v>3162</v>
      </c>
      <c r="E3" s="72" t="s">
        <v>3064</v>
      </c>
      <c r="F3" s="72" t="s">
        <v>3065</v>
      </c>
      <c r="G3" s="72" t="s">
        <v>3066</v>
      </c>
      <c r="H3" s="72" t="s">
        <v>3068</v>
      </c>
      <c r="I3" s="72" t="s">
        <v>3163</v>
      </c>
    </row>
    <row r="4" spans="1:9" x14ac:dyDescent="0.3">
      <c r="A4" s="70" t="s">
        <v>3062</v>
      </c>
      <c r="B4" s="71">
        <v>2</v>
      </c>
      <c r="C4" s="72" t="s">
        <v>3067</v>
      </c>
      <c r="D4" s="72" t="s">
        <v>3485</v>
      </c>
      <c r="E4" s="72" t="s">
        <v>3064</v>
      </c>
      <c r="F4" s="72" t="s">
        <v>3065</v>
      </c>
      <c r="G4" s="72" t="s">
        <v>3066</v>
      </c>
      <c r="H4" s="72" t="s">
        <v>3068</v>
      </c>
      <c r="I4" s="72" t="s">
        <v>3520</v>
      </c>
    </row>
    <row r="5" spans="1:9" x14ac:dyDescent="0.3">
      <c r="A5" s="70" t="s">
        <v>3062</v>
      </c>
      <c r="B5" s="71">
        <v>2</v>
      </c>
      <c r="C5" s="72" t="s">
        <v>3063</v>
      </c>
      <c r="D5" s="72" t="s">
        <v>3485</v>
      </c>
      <c r="E5" s="72" t="s">
        <v>3064</v>
      </c>
      <c r="F5" s="72" t="s">
        <v>3065</v>
      </c>
      <c r="G5" s="72" t="s">
        <v>3066</v>
      </c>
      <c r="H5" s="72" t="s">
        <v>3068</v>
      </c>
      <c r="I5" s="72" t="s">
        <v>3520</v>
      </c>
    </row>
    <row r="6" spans="1:9" x14ac:dyDescent="0.3">
      <c r="A6" s="70" t="s">
        <v>3062</v>
      </c>
      <c r="B6" s="71">
        <v>1</v>
      </c>
      <c r="C6" s="72" t="s">
        <v>3063</v>
      </c>
      <c r="D6" s="72" t="s">
        <v>3578</v>
      </c>
      <c r="E6" s="72" t="s">
        <v>3577</v>
      </c>
      <c r="F6" s="72" t="s">
        <v>3065</v>
      </c>
      <c r="G6" s="72" t="s">
        <v>3066</v>
      </c>
      <c r="H6" s="72" t="s">
        <v>3580</v>
      </c>
      <c r="I6" s="72" t="s">
        <v>3577</v>
      </c>
    </row>
    <row r="7" spans="1:9" x14ac:dyDescent="0.3">
      <c r="A7" s="70" t="s">
        <v>3062</v>
      </c>
      <c r="B7" s="71">
        <v>1</v>
      </c>
      <c r="C7" s="72" t="s">
        <v>3063</v>
      </c>
      <c r="D7" s="72" t="s">
        <v>3577</v>
      </c>
      <c r="E7" s="72" t="s">
        <v>3578</v>
      </c>
      <c r="F7" s="72" t="s">
        <v>3579</v>
      </c>
      <c r="G7" s="72" t="s">
        <v>3066</v>
      </c>
      <c r="H7" s="72" t="s">
        <v>3580</v>
      </c>
      <c r="I7" s="72" t="s">
        <v>3577</v>
      </c>
    </row>
    <row r="8" spans="1:9" x14ac:dyDescent="0.3">
      <c r="A8" s="70" t="s">
        <v>3062</v>
      </c>
      <c r="B8" s="71">
        <v>1</v>
      </c>
      <c r="C8" s="72" t="s">
        <v>3063</v>
      </c>
      <c r="D8" s="72" t="s">
        <v>3581</v>
      </c>
      <c r="E8" s="72" t="s">
        <v>3577</v>
      </c>
      <c r="F8" s="72" t="s">
        <v>3065</v>
      </c>
      <c r="G8" s="72" t="s">
        <v>3066</v>
      </c>
      <c r="H8" s="72" t="s">
        <v>3580</v>
      </c>
      <c r="I8" s="72" t="s">
        <v>3577</v>
      </c>
    </row>
    <row r="9" spans="1:9" x14ac:dyDescent="0.3">
      <c r="A9" s="70" t="s">
        <v>3521</v>
      </c>
      <c r="B9" s="71">
        <v>2</v>
      </c>
      <c r="C9" s="72" t="s">
        <v>3067</v>
      </c>
      <c r="D9" s="72" t="s">
        <v>3522</v>
      </c>
      <c r="E9" s="72" t="s">
        <v>3523</v>
      </c>
      <c r="F9" s="72" t="s">
        <v>3524</v>
      </c>
      <c r="G9" s="72" t="s">
        <v>3066</v>
      </c>
      <c r="H9" s="72" t="s">
        <v>3525</v>
      </c>
      <c r="I9" s="72" t="s">
        <v>3526</v>
      </c>
    </row>
    <row r="10" spans="1:9" x14ac:dyDescent="0.3">
      <c r="A10" s="70" t="s">
        <v>3521</v>
      </c>
      <c r="B10" s="71">
        <v>2</v>
      </c>
      <c r="C10" s="72" t="s">
        <v>3067</v>
      </c>
      <c r="D10" s="72" t="s">
        <v>3523</v>
      </c>
      <c r="E10" s="72" t="s">
        <v>3522</v>
      </c>
      <c r="F10" s="72" t="s">
        <v>3527</v>
      </c>
      <c r="G10" s="72" t="s">
        <v>3066</v>
      </c>
      <c r="H10" s="72" t="s">
        <v>3525</v>
      </c>
      <c r="I10" s="72" t="s">
        <v>3526</v>
      </c>
    </row>
    <row r="11" spans="1:9" x14ac:dyDescent="0.3">
      <c r="A11" s="70" t="s">
        <v>3521</v>
      </c>
      <c r="B11" s="71">
        <v>2</v>
      </c>
      <c r="C11" s="72" t="s">
        <v>3067</v>
      </c>
      <c r="D11" s="72" t="s">
        <v>3528</v>
      </c>
      <c r="E11" s="72" t="s">
        <v>3522</v>
      </c>
      <c r="F11" s="72" t="s">
        <v>3527</v>
      </c>
      <c r="G11" s="72" t="s">
        <v>3066</v>
      </c>
      <c r="H11" s="72" t="s">
        <v>3525</v>
      </c>
      <c r="I11" s="72" t="s">
        <v>3526</v>
      </c>
    </row>
    <row r="12" spans="1:9" x14ac:dyDescent="0.3">
      <c r="A12" s="70" t="s">
        <v>3521</v>
      </c>
      <c r="B12" s="71">
        <v>2</v>
      </c>
      <c r="C12" s="72" t="s">
        <v>3067</v>
      </c>
      <c r="D12" s="72" t="s">
        <v>3529</v>
      </c>
      <c r="E12" s="72" t="s">
        <v>3522</v>
      </c>
      <c r="F12" s="72" t="s">
        <v>3527</v>
      </c>
      <c r="G12" s="72" t="s">
        <v>3066</v>
      </c>
      <c r="H12" s="72" t="s">
        <v>3525</v>
      </c>
      <c r="I12" s="72" t="s">
        <v>3526</v>
      </c>
    </row>
    <row r="13" spans="1:9" x14ac:dyDescent="0.3">
      <c r="A13" s="70" t="s">
        <v>3521</v>
      </c>
      <c r="B13" s="71">
        <v>1</v>
      </c>
      <c r="C13" s="72" t="s">
        <v>3067</v>
      </c>
      <c r="D13" s="72" t="s">
        <v>3530</v>
      </c>
      <c r="E13" s="72" t="s">
        <v>3531</v>
      </c>
      <c r="F13" s="72" t="s">
        <v>3524</v>
      </c>
      <c r="G13" s="72" t="s">
        <v>3066</v>
      </c>
      <c r="H13" s="72" t="s">
        <v>3525</v>
      </c>
      <c r="I13" s="72" t="s">
        <v>3532</v>
      </c>
    </row>
    <row r="14" spans="1:9" x14ac:dyDescent="0.3">
      <c r="A14" s="70" t="s">
        <v>3521</v>
      </c>
      <c r="B14" s="71">
        <v>1</v>
      </c>
      <c r="C14" s="72" t="s">
        <v>3067</v>
      </c>
      <c r="D14" s="72" t="s">
        <v>3531</v>
      </c>
      <c r="E14" s="72" t="s">
        <v>3530</v>
      </c>
      <c r="F14" s="72" t="s">
        <v>3527</v>
      </c>
      <c r="G14" s="72" t="s">
        <v>3066</v>
      </c>
      <c r="H14" s="72" t="s">
        <v>3525</v>
      </c>
      <c r="I14" s="72" t="s">
        <v>3532</v>
      </c>
    </row>
    <row r="15" spans="1:9" x14ac:dyDescent="0.3">
      <c r="A15" s="70" t="s">
        <v>3521</v>
      </c>
      <c r="B15" s="71">
        <v>1</v>
      </c>
      <c r="C15" s="72" t="s">
        <v>3067</v>
      </c>
      <c r="D15" s="72" t="s">
        <v>3533</v>
      </c>
      <c r="E15" s="72" t="s">
        <v>3530</v>
      </c>
      <c r="F15" s="72" t="s">
        <v>3527</v>
      </c>
      <c r="G15" s="72" t="s">
        <v>3066</v>
      </c>
      <c r="H15" s="72" t="s">
        <v>3525</v>
      </c>
      <c r="I15" s="72" t="s">
        <v>3532</v>
      </c>
    </row>
    <row r="16" spans="1:9" x14ac:dyDescent="0.3">
      <c r="A16" s="70" t="s">
        <v>3521</v>
      </c>
      <c r="B16" s="71">
        <v>1</v>
      </c>
      <c r="C16" s="72" t="s">
        <v>3067</v>
      </c>
      <c r="D16" s="72" t="s">
        <v>3534</v>
      </c>
      <c r="E16" s="72" t="s">
        <v>3530</v>
      </c>
      <c r="F16" s="72" t="s">
        <v>3527</v>
      </c>
      <c r="G16" s="72" t="s">
        <v>3066</v>
      </c>
      <c r="H16" s="72" t="s">
        <v>3525</v>
      </c>
      <c r="I16" s="72" t="s">
        <v>3532</v>
      </c>
    </row>
    <row r="17" spans="1:9" x14ac:dyDescent="0.3">
      <c r="A17" s="70" t="s">
        <v>3521</v>
      </c>
      <c r="B17" s="71">
        <v>1</v>
      </c>
      <c r="C17" s="72" t="s">
        <v>3067</v>
      </c>
      <c r="D17" s="72" t="s">
        <v>3535</v>
      </c>
      <c r="E17" s="72" t="s">
        <v>3530</v>
      </c>
      <c r="F17" s="72" t="s">
        <v>3527</v>
      </c>
      <c r="G17" s="72" t="s">
        <v>3066</v>
      </c>
      <c r="H17" s="72" t="s">
        <v>3525</v>
      </c>
      <c r="I17" s="72" t="s">
        <v>3532</v>
      </c>
    </row>
    <row r="18" spans="1:9" x14ac:dyDescent="0.3">
      <c r="A18" s="70" t="s">
        <v>3521</v>
      </c>
      <c r="B18" s="71">
        <v>1</v>
      </c>
      <c r="C18" s="72" t="s">
        <v>3067</v>
      </c>
      <c r="D18" s="72" t="s">
        <v>3536</v>
      </c>
      <c r="E18" s="72" t="s">
        <v>3530</v>
      </c>
      <c r="F18" s="72" t="s">
        <v>3527</v>
      </c>
      <c r="G18" s="72" t="s">
        <v>3066</v>
      </c>
      <c r="H18" s="72" t="s">
        <v>3525</v>
      </c>
      <c r="I18" s="72" t="s">
        <v>3532</v>
      </c>
    </row>
    <row r="19" spans="1:9" x14ac:dyDescent="0.3">
      <c r="A19" s="70" t="s">
        <v>3521</v>
      </c>
      <c r="B19" s="71">
        <v>1</v>
      </c>
      <c r="C19" s="72" t="s">
        <v>3067</v>
      </c>
      <c r="D19" s="72" t="s">
        <v>3537</v>
      </c>
      <c r="E19" s="72" t="s">
        <v>3530</v>
      </c>
      <c r="F19" s="72" t="s">
        <v>3527</v>
      </c>
      <c r="G19" s="72" t="s">
        <v>3066</v>
      </c>
      <c r="H19" s="72" t="s">
        <v>3525</v>
      </c>
      <c r="I19" s="72" t="s">
        <v>3532</v>
      </c>
    </row>
    <row r="20" spans="1:9" x14ac:dyDescent="0.3">
      <c r="A20" s="70" t="s">
        <v>3521</v>
      </c>
      <c r="B20" s="71">
        <v>1</v>
      </c>
      <c r="C20" s="72" t="s">
        <v>3067</v>
      </c>
      <c r="D20" s="72" t="s">
        <v>3538</v>
      </c>
      <c r="E20" s="72" t="s">
        <v>3539</v>
      </c>
      <c r="F20" s="72" t="s">
        <v>3524</v>
      </c>
      <c r="G20" s="72" t="s">
        <v>3066</v>
      </c>
      <c r="H20" s="72" t="s">
        <v>3540</v>
      </c>
      <c r="I20" s="72" t="s">
        <v>3532</v>
      </c>
    </row>
    <row r="21" spans="1:9" x14ac:dyDescent="0.3">
      <c r="A21" s="70" t="s">
        <v>3521</v>
      </c>
      <c r="B21" s="71">
        <v>1</v>
      </c>
      <c r="C21" s="72" t="s">
        <v>3067</v>
      </c>
      <c r="D21" s="72" t="s">
        <v>3539</v>
      </c>
      <c r="E21" s="72" t="s">
        <v>3538</v>
      </c>
      <c r="F21" s="72" t="s">
        <v>3527</v>
      </c>
      <c r="G21" s="72" t="s">
        <v>3066</v>
      </c>
      <c r="H21" s="72" t="s">
        <v>3541</v>
      </c>
      <c r="I21" s="72" t="s">
        <v>3532</v>
      </c>
    </row>
    <row r="22" spans="1:9" x14ac:dyDescent="0.3">
      <c r="A22" s="70" t="s">
        <v>3521</v>
      </c>
      <c r="B22" s="71">
        <v>1</v>
      </c>
      <c r="C22" s="72" t="s">
        <v>3067</v>
      </c>
      <c r="D22" s="72" t="s">
        <v>3538</v>
      </c>
      <c r="E22" s="72" t="s">
        <v>3538</v>
      </c>
      <c r="F22" s="72" t="s">
        <v>3527</v>
      </c>
      <c r="G22" s="72" t="s">
        <v>3066</v>
      </c>
      <c r="H22" s="72" t="s">
        <v>3541</v>
      </c>
      <c r="I22" s="72" t="s">
        <v>3532</v>
      </c>
    </row>
  </sheetData>
  <phoneticPr fontId="2" type="noConversion"/>
  <conditionalFormatting sqref="B2:B22">
    <cfRule type="cellIs" dxfId="0" priority="2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J12"/>
  <sheetViews>
    <sheetView workbookViewId="0">
      <selection activeCell="C27" sqref="C27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13.109375" bestFit="1" customWidth="1"/>
    <col min="4" max="4" width="13" bestFit="1" customWidth="1"/>
    <col min="5" max="5" width="42.88671875" bestFit="1" customWidth="1"/>
    <col min="6" max="6" width="10.33203125" bestFit="1" customWidth="1"/>
    <col min="7" max="7" width="10.88671875" bestFit="1" customWidth="1"/>
    <col min="8" max="8" width="20.88671875" bestFit="1" customWidth="1"/>
    <col min="9" max="9" width="12.21875" bestFit="1" customWidth="1"/>
    <col min="10" max="10" width="17.21875" bestFit="1" customWidth="1"/>
  </cols>
  <sheetData>
    <row r="1" spans="1:10" x14ac:dyDescent="0.3">
      <c r="A1" s="69" t="s">
        <v>7</v>
      </c>
      <c r="B1" s="69" t="s">
        <v>3069</v>
      </c>
      <c r="C1" s="69" t="s">
        <v>3548</v>
      </c>
      <c r="D1" s="69" t="s">
        <v>3549</v>
      </c>
      <c r="E1" s="69" t="s">
        <v>3056</v>
      </c>
      <c r="F1" s="69" t="s">
        <v>3582</v>
      </c>
      <c r="G1" s="69" t="s">
        <v>3070</v>
      </c>
      <c r="H1" s="69" t="s">
        <v>3071</v>
      </c>
      <c r="I1" s="69" t="s">
        <v>3072</v>
      </c>
      <c r="J1" s="69" t="s">
        <v>3164</v>
      </c>
    </row>
    <row r="2" spans="1:10" x14ac:dyDescent="0.3">
      <c r="A2" s="105" t="s">
        <v>3073</v>
      </c>
      <c r="B2" s="105" t="s">
        <v>3583</v>
      </c>
      <c r="C2" s="105" t="s">
        <v>3551</v>
      </c>
      <c r="D2" s="105" t="s">
        <v>3551</v>
      </c>
      <c r="E2" s="105" t="s">
        <v>3584</v>
      </c>
      <c r="F2" s="105" t="s">
        <v>3585</v>
      </c>
      <c r="G2" s="105" t="s">
        <v>173</v>
      </c>
      <c r="H2" s="105" t="s">
        <v>3076</v>
      </c>
      <c r="I2" s="105" t="s">
        <v>3077</v>
      </c>
      <c r="J2" s="105" t="s">
        <v>3165</v>
      </c>
    </row>
    <row r="3" spans="1:10" x14ac:dyDescent="0.3">
      <c r="A3" s="105" t="s">
        <v>3078</v>
      </c>
      <c r="B3" s="105" t="s">
        <v>3550</v>
      </c>
      <c r="C3" s="105" t="s">
        <v>3551</v>
      </c>
      <c r="D3" s="105" t="s">
        <v>3551</v>
      </c>
      <c r="E3" s="105" t="s">
        <v>3079</v>
      </c>
      <c r="F3" s="105" t="s">
        <v>3585</v>
      </c>
      <c r="G3" s="105" t="s">
        <v>3074</v>
      </c>
      <c r="H3" s="105" t="s">
        <v>3080</v>
      </c>
      <c r="I3" s="105" t="s">
        <v>3081</v>
      </c>
      <c r="J3" s="105" t="s">
        <v>3170</v>
      </c>
    </row>
    <row r="4" spans="1:10" x14ac:dyDescent="0.3">
      <c r="A4" s="105" t="s">
        <v>3073</v>
      </c>
      <c r="B4" s="105" t="s">
        <v>3552</v>
      </c>
      <c r="C4" s="105" t="s">
        <v>3551</v>
      </c>
      <c r="D4" s="105" t="s">
        <v>3551</v>
      </c>
      <c r="E4" s="105" t="s">
        <v>3079</v>
      </c>
      <c r="F4" s="105" t="s">
        <v>3585</v>
      </c>
      <c r="G4" s="105" t="s">
        <v>3074</v>
      </c>
      <c r="H4" s="105" t="s">
        <v>3082</v>
      </c>
      <c r="I4" s="105" t="s">
        <v>3081</v>
      </c>
      <c r="J4" s="105" t="s">
        <v>3553</v>
      </c>
    </row>
    <row r="5" spans="1:10" x14ac:dyDescent="0.3">
      <c r="A5" s="105" t="s">
        <v>3073</v>
      </c>
      <c r="B5" s="105" t="s">
        <v>3412</v>
      </c>
      <c r="C5" s="105" t="s">
        <v>3064</v>
      </c>
      <c r="D5" s="105" t="s">
        <v>3064</v>
      </c>
      <c r="E5" s="105" t="s">
        <v>3084</v>
      </c>
      <c r="F5" s="105" t="s">
        <v>3585</v>
      </c>
      <c r="G5" s="105" t="s">
        <v>3085</v>
      </c>
      <c r="H5" s="105" t="s">
        <v>3086</v>
      </c>
      <c r="I5" s="105" t="s">
        <v>3077</v>
      </c>
      <c r="J5" s="105" t="s">
        <v>3171</v>
      </c>
    </row>
    <row r="6" spans="1:10" x14ac:dyDescent="0.3">
      <c r="A6" s="105" t="s">
        <v>3078</v>
      </c>
      <c r="B6" s="105" t="s">
        <v>3166</v>
      </c>
      <c r="C6" s="105" t="s">
        <v>3551</v>
      </c>
      <c r="D6" s="105" t="s">
        <v>3551</v>
      </c>
      <c r="E6" s="105" t="s">
        <v>3099</v>
      </c>
      <c r="F6" s="105" t="s">
        <v>3585</v>
      </c>
      <c r="G6" s="105" t="s">
        <v>173</v>
      </c>
      <c r="H6" s="105" t="s">
        <v>3080</v>
      </c>
      <c r="I6" s="105" t="s">
        <v>3094</v>
      </c>
      <c r="J6" s="105" t="s">
        <v>3167</v>
      </c>
    </row>
    <row r="7" spans="1:10" x14ac:dyDescent="0.3">
      <c r="A7" s="105" t="s">
        <v>3073</v>
      </c>
      <c r="B7" s="105" t="s">
        <v>3168</v>
      </c>
      <c r="C7" s="105" t="s">
        <v>3551</v>
      </c>
      <c r="D7" s="105" t="s">
        <v>3551</v>
      </c>
      <c r="E7" s="105" t="s">
        <v>3099</v>
      </c>
      <c r="F7" s="105" t="s">
        <v>3585</v>
      </c>
      <c r="G7" s="105" t="s">
        <v>173</v>
      </c>
      <c r="H7" s="105" t="s">
        <v>3100</v>
      </c>
      <c r="I7" s="105" t="s">
        <v>3094</v>
      </c>
      <c r="J7" s="105" t="s">
        <v>3169</v>
      </c>
    </row>
    <row r="8" spans="1:10" x14ac:dyDescent="0.3">
      <c r="A8" s="105" t="s">
        <v>3073</v>
      </c>
      <c r="B8" s="105" t="s">
        <v>3083</v>
      </c>
      <c r="C8" s="105" t="s">
        <v>3064</v>
      </c>
      <c r="D8" s="105" t="s">
        <v>3064</v>
      </c>
      <c r="E8" s="105" t="s">
        <v>3084</v>
      </c>
      <c r="F8" s="105" t="s">
        <v>3585</v>
      </c>
      <c r="G8" s="105" t="s">
        <v>3085</v>
      </c>
      <c r="H8" s="105" t="s">
        <v>3086</v>
      </c>
      <c r="I8" s="105" t="s">
        <v>3087</v>
      </c>
      <c r="J8" s="105" t="s">
        <v>3171</v>
      </c>
    </row>
    <row r="9" spans="1:10" x14ac:dyDescent="0.3">
      <c r="A9" s="105" t="s">
        <v>3073</v>
      </c>
      <c r="B9" s="105" t="s">
        <v>3088</v>
      </c>
      <c r="C9" s="105" t="s">
        <v>3551</v>
      </c>
      <c r="D9" s="105" t="s">
        <v>3551</v>
      </c>
      <c r="E9" s="105" t="s">
        <v>3089</v>
      </c>
      <c r="F9" s="105" t="s">
        <v>3585</v>
      </c>
      <c r="G9" s="105" t="s">
        <v>3074</v>
      </c>
      <c r="H9" s="105" t="s">
        <v>3090</v>
      </c>
      <c r="I9" s="105" t="s">
        <v>3087</v>
      </c>
      <c r="J9" s="105" t="s">
        <v>3172</v>
      </c>
    </row>
    <row r="10" spans="1:10" x14ac:dyDescent="0.3">
      <c r="A10" s="105" t="s">
        <v>3073</v>
      </c>
      <c r="B10" s="105" t="s">
        <v>3091</v>
      </c>
      <c r="C10" s="105" t="s">
        <v>3551</v>
      </c>
      <c r="D10" s="105" t="s">
        <v>3551</v>
      </c>
      <c r="E10" s="105" t="s">
        <v>3092</v>
      </c>
      <c r="F10" s="105" t="s">
        <v>3585</v>
      </c>
      <c r="G10" s="105" t="s">
        <v>3074</v>
      </c>
      <c r="H10" s="105" t="s">
        <v>3093</v>
      </c>
      <c r="I10" s="105" t="s">
        <v>3094</v>
      </c>
      <c r="J10" s="105" t="s">
        <v>3173</v>
      </c>
    </row>
    <row r="11" spans="1:10" x14ac:dyDescent="0.3">
      <c r="A11" s="105" t="s">
        <v>3073</v>
      </c>
      <c r="B11" s="105" t="s">
        <v>3095</v>
      </c>
      <c r="C11" s="105" t="s">
        <v>3551</v>
      </c>
      <c r="D11" s="105" t="s">
        <v>3551</v>
      </c>
      <c r="E11" s="105" t="s">
        <v>3096</v>
      </c>
      <c r="F11" s="105" t="s">
        <v>3585</v>
      </c>
      <c r="G11" s="105" t="s">
        <v>173</v>
      </c>
      <c r="H11" s="105" t="s">
        <v>3076</v>
      </c>
      <c r="I11" s="105" t="s">
        <v>3077</v>
      </c>
      <c r="J11" s="105" t="s">
        <v>3165</v>
      </c>
    </row>
    <row r="12" spans="1:10" x14ac:dyDescent="0.3">
      <c r="A12" s="105" t="s">
        <v>3073</v>
      </c>
      <c r="B12" s="105" t="s">
        <v>3097</v>
      </c>
      <c r="C12" s="105" t="s">
        <v>3551</v>
      </c>
      <c r="D12" s="105" t="s">
        <v>3551</v>
      </c>
      <c r="E12" s="105" t="s">
        <v>3079</v>
      </c>
      <c r="F12" s="105" t="s">
        <v>3585</v>
      </c>
      <c r="G12" s="105" t="s">
        <v>3074</v>
      </c>
      <c r="H12" s="105" t="s">
        <v>3098</v>
      </c>
      <c r="I12" s="105" t="s">
        <v>3075</v>
      </c>
      <c r="J12" s="105" t="s">
        <v>3174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6"/>
  <sheetViews>
    <sheetView workbookViewId="0">
      <selection activeCell="E37" sqref="E37"/>
    </sheetView>
  </sheetViews>
  <sheetFormatPr defaultColWidth="12.33203125" defaultRowHeight="15.65" x14ac:dyDescent="0.3"/>
  <cols>
    <col min="1" max="1" width="12.21875" style="55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109375" bestFit="1" customWidth="1"/>
  </cols>
  <sheetData>
    <row r="1" spans="1:6" x14ac:dyDescent="0.3">
      <c r="A1" s="54" t="s">
        <v>3161</v>
      </c>
      <c r="B1" s="54" t="s">
        <v>3061</v>
      </c>
      <c r="C1" s="54" t="s">
        <v>3175</v>
      </c>
      <c r="D1" s="54" t="s">
        <v>3176</v>
      </c>
      <c r="E1" s="54" t="s">
        <v>15</v>
      </c>
      <c r="F1" s="54" t="s">
        <v>3177</v>
      </c>
    </row>
    <row r="2" spans="1:6" x14ac:dyDescent="0.3">
      <c r="A2" s="117" t="s">
        <v>3586</v>
      </c>
      <c r="B2" s="117" t="s">
        <v>3587</v>
      </c>
      <c r="C2" s="117" t="s">
        <v>3178</v>
      </c>
      <c r="D2" s="117" t="s">
        <v>3588</v>
      </c>
      <c r="E2" s="117" t="s">
        <v>3179</v>
      </c>
      <c r="F2" s="117" t="s">
        <v>3180</v>
      </c>
    </row>
    <row r="3" spans="1:6" x14ac:dyDescent="0.3">
      <c r="A3" s="117" t="s">
        <v>3454</v>
      </c>
      <c r="B3" s="117" t="s">
        <v>3455</v>
      </c>
      <c r="C3" s="117" t="s">
        <v>3178</v>
      </c>
      <c r="D3" s="117" t="s">
        <v>3589</v>
      </c>
      <c r="E3" s="117" t="s">
        <v>3179</v>
      </c>
      <c r="F3" s="117" t="s">
        <v>3180</v>
      </c>
    </row>
    <row r="4" spans="1:6" x14ac:dyDescent="0.3">
      <c r="A4" s="117" t="s">
        <v>3300</v>
      </c>
      <c r="B4" s="117" t="s">
        <v>3181</v>
      </c>
      <c r="C4" s="117" t="s">
        <v>3178</v>
      </c>
      <c r="D4" s="117" t="s">
        <v>3182</v>
      </c>
      <c r="E4" s="117" t="s">
        <v>3179</v>
      </c>
      <c r="F4" s="117" t="s">
        <v>3180</v>
      </c>
    </row>
    <row r="5" spans="1:6" x14ac:dyDescent="0.3">
      <c r="A5" s="117" t="s">
        <v>3301</v>
      </c>
      <c r="B5" s="117" t="s">
        <v>3185</v>
      </c>
      <c r="C5" s="117" t="s">
        <v>3178</v>
      </c>
      <c r="D5" s="117" t="s">
        <v>3186</v>
      </c>
      <c r="E5" s="117" t="s">
        <v>3187</v>
      </c>
      <c r="F5" s="117" t="s">
        <v>3188</v>
      </c>
    </row>
    <row r="6" spans="1:6" x14ac:dyDescent="0.3">
      <c r="A6" s="117" t="s">
        <v>3301</v>
      </c>
      <c r="B6" s="117" t="s">
        <v>3185</v>
      </c>
      <c r="C6" s="117" t="s">
        <v>3178</v>
      </c>
      <c r="D6" s="117" t="s">
        <v>3590</v>
      </c>
      <c r="E6" s="117" t="s">
        <v>3179</v>
      </c>
      <c r="F6" s="117" t="s">
        <v>3180</v>
      </c>
    </row>
    <row r="7" spans="1:6" x14ac:dyDescent="0.3">
      <c r="A7" s="117" t="s">
        <v>3302</v>
      </c>
      <c r="B7" s="117" t="s">
        <v>3189</v>
      </c>
      <c r="C7" s="117" t="s">
        <v>3178</v>
      </c>
      <c r="D7" s="117" t="s">
        <v>3190</v>
      </c>
      <c r="E7" s="117" t="s">
        <v>3179</v>
      </c>
      <c r="F7" s="117" t="s">
        <v>3180</v>
      </c>
    </row>
    <row r="8" spans="1:6" x14ac:dyDescent="0.3">
      <c r="A8" s="117" t="s">
        <v>3413</v>
      </c>
      <c r="B8" s="117" t="s">
        <v>3414</v>
      </c>
      <c r="C8" s="117" t="s">
        <v>3178</v>
      </c>
      <c r="D8" s="117" t="s">
        <v>3415</v>
      </c>
      <c r="E8" s="117" t="s">
        <v>3179</v>
      </c>
      <c r="F8" s="117" t="s">
        <v>3180</v>
      </c>
    </row>
    <row r="9" spans="1:6" x14ac:dyDescent="0.3">
      <c r="A9" s="117" t="s">
        <v>3303</v>
      </c>
      <c r="B9" s="117" t="s">
        <v>3191</v>
      </c>
      <c r="C9" s="117" t="s">
        <v>3178</v>
      </c>
      <c r="D9" s="117" t="s">
        <v>3192</v>
      </c>
      <c r="E9" s="117" t="s">
        <v>3183</v>
      </c>
      <c r="F9" s="117" t="s">
        <v>3193</v>
      </c>
    </row>
    <row r="10" spans="1:6" x14ac:dyDescent="0.3">
      <c r="A10" s="117" t="s">
        <v>3304</v>
      </c>
      <c r="B10" s="117" t="s">
        <v>3194</v>
      </c>
      <c r="C10" s="117" t="s">
        <v>3178</v>
      </c>
      <c r="D10" s="117" t="s">
        <v>3195</v>
      </c>
      <c r="E10" s="117" t="s">
        <v>3179</v>
      </c>
      <c r="F10" s="117" t="s">
        <v>3180</v>
      </c>
    </row>
    <row r="11" spans="1:6" x14ac:dyDescent="0.3">
      <c r="A11" s="117" t="s">
        <v>3196</v>
      </c>
      <c r="B11" s="117" t="s">
        <v>3197</v>
      </c>
      <c r="C11" s="117" t="s">
        <v>3178</v>
      </c>
      <c r="D11" s="117" t="s">
        <v>3198</v>
      </c>
      <c r="E11" s="117" t="s">
        <v>3183</v>
      </c>
      <c r="F11" s="117" t="s">
        <v>3199</v>
      </c>
    </row>
    <row r="12" spans="1:6" x14ac:dyDescent="0.3">
      <c r="A12" s="117" t="s">
        <v>3196</v>
      </c>
      <c r="B12" s="117" t="s">
        <v>3197</v>
      </c>
      <c r="C12" s="117" t="s">
        <v>3178</v>
      </c>
      <c r="D12" s="117" t="s">
        <v>3200</v>
      </c>
      <c r="E12" s="117" t="s">
        <v>3183</v>
      </c>
      <c r="F12" s="117" t="s">
        <v>3201</v>
      </c>
    </row>
    <row r="13" spans="1:6" x14ac:dyDescent="0.3">
      <c r="A13" s="117" t="s">
        <v>3305</v>
      </c>
      <c r="B13" s="117" t="s">
        <v>3202</v>
      </c>
      <c r="C13" s="117" t="s">
        <v>3203</v>
      </c>
      <c r="D13" s="117" t="s">
        <v>3204</v>
      </c>
      <c r="E13" s="117" t="s">
        <v>1210</v>
      </c>
      <c r="F13" s="117" t="s">
        <v>3205</v>
      </c>
    </row>
    <row r="14" spans="1:6" x14ac:dyDescent="0.3">
      <c r="A14" s="117" t="s">
        <v>3306</v>
      </c>
      <c r="B14" s="117" t="s">
        <v>3206</v>
      </c>
      <c r="C14" s="117" t="s">
        <v>3203</v>
      </c>
      <c r="D14" s="117" t="s">
        <v>3207</v>
      </c>
      <c r="E14" s="117" t="s">
        <v>1210</v>
      </c>
      <c r="F14" s="117" t="s">
        <v>3208</v>
      </c>
    </row>
    <row r="15" spans="1:6" x14ac:dyDescent="0.3">
      <c r="A15" s="117" t="s">
        <v>3307</v>
      </c>
      <c r="B15" s="117" t="s">
        <v>3209</v>
      </c>
      <c r="C15" s="117" t="s">
        <v>3203</v>
      </c>
      <c r="D15" s="117" t="s">
        <v>3591</v>
      </c>
      <c r="E15" s="117" t="s">
        <v>1210</v>
      </c>
      <c r="F15" s="117" t="s">
        <v>3208</v>
      </c>
    </row>
    <row r="16" spans="1:6" x14ac:dyDescent="0.3">
      <c r="A16" s="117" t="s">
        <v>3210</v>
      </c>
      <c r="B16" s="117" t="s">
        <v>3211</v>
      </c>
      <c r="C16" s="117" t="s">
        <v>3203</v>
      </c>
      <c r="D16" s="117" t="s">
        <v>3212</v>
      </c>
      <c r="E16" s="117" t="s">
        <v>1210</v>
      </c>
      <c r="F16" s="117" t="s">
        <v>3208</v>
      </c>
    </row>
    <row r="17" spans="1:6" x14ac:dyDescent="0.3">
      <c r="A17" s="117" t="s">
        <v>3456</v>
      </c>
      <c r="B17" s="117" t="s">
        <v>3457</v>
      </c>
      <c r="C17" s="117" t="s">
        <v>3203</v>
      </c>
      <c r="D17" s="117" t="s">
        <v>3592</v>
      </c>
      <c r="E17" s="117" t="s">
        <v>1210</v>
      </c>
      <c r="F17" s="117" t="s">
        <v>3208</v>
      </c>
    </row>
    <row r="18" spans="1:6" x14ac:dyDescent="0.3">
      <c r="A18" s="117" t="s">
        <v>3213</v>
      </c>
      <c r="B18" s="117" t="s">
        <v>3214</v>
      </c>
      <c r="C18" s="117" t="s">
        <v>3203</v>
      </c>
      <c r="D18" s="117" t="s">
        <v>3542</v>
      </c>
      <c r="E18" s="117" t="s">
        <v>1210</v>
      </c>
      <c r="F18" s="117" t="s">
        <v>3208</v>
      </c>
    </row>
    <row r="19" spans="1:6" x14ac:dyDescent="0.3">
      <c r="A19" s="117" t="s">
        <v>3308</v>
      </c>
      <c r="B19" s="117" t="s">
        <v>3215</v>
      </c>
      <c r="C19" s="117" t="s">
        <v>3203</v>
      </c>
      <c r="D19" s="117" t="s">
        <v>3543</v>
      </c>
      <c r="E19" s="117" t="s">
        <v>1210</v>
      </c>
      <c r="F19" s="117" t="s">
        <v>3208</v>
      </c>
    </row>
    <row r="20" spans="1:6" x14ac:dyDescent="0.3">
      <c r="A20" s="117" t="s">
        <v>3458</v>
      </c>
      <c r="B20" s="117" t="s">
        <v>3459</v>
      </c>
      <c r="C20" s="117" t="s">
        <v>3203</v>
      </c>
      <c r="D20" s="117" t="s">
        <v>3593</v>
      </c>
      <c r="E20" s="117" t="s">
        <v>1210</v>
      </c>
      <c r="F20" s="117" t="s">
        <v>3208</v>
      </c>
    </row>
    <row r="21" spans="1:6" x14ac:dyDescent="0.3">
      <c r="A21" s="117" t="s">
        <v>3216</v>
      </c>
      <c r="B21" s="117" t="s">
        <v>3217</v>
      </c>
      <c r="C21" s="117" t="s">
        <v>3203</v>
      </c>
      <c r="D21" s="117" t="s">
        <v>3594</v>
      </c>
      <c r="E21" s="117" t="s">
        <v>1210</v>
      </c>
      <c r="F21" s="117" t="s">
        <v>3208</v>
      </c>
    </row>
    <row r="22" spans="1:6" x14ac:dyDescent="0.3">
      <c r="A22" s="117" t="s">
        <v>3218</v>
      </c>
      <c r="B22" s="117" t="s">
        <v>3219</v>
      </c>
      <c r="C22" s="117" t="s">
        <v>3203</v>
      </c>
      <c r="D22" s="117" t="s">
        <v>3220</v>
      </c>
      <c r="E22" s="117" t="s">
        <v>1210</v>
      </c>
      <c r="F22" s="117" t="s">
        <v>3221</v>
      </c>
    </row>
    <row r="23" spans="1:6" x14ac:dyDescent="0.3">
      <c r="A23" s="117" t="s">
        <v>3218</v>
      </c>
      <c r="B23" s="117" t="s">
        <v>3219</v>
      </c>
      <c r="C23" s="117" t="s">
        <v>3203</v>
      </c>
      <c r="D23" s="117" t="s">
        <v>3222</v>
      </c>
      <c r="E23" s="117" t="s">
        <v>1210</v>
      </c>
      <c r="F23" s="117" t="s">
        <v>3223</v>
      </c>
    </row>
    <row r="24" spans="1:6" x14ac:dyDescent="0.3">
      <c r="A24" s="117" t="s">
        <v>3224</v>
      </c>
      <c r="B24" s="117" t="s">
        <v>3225</v>
      </c>
      <c r="C24" s="117" t="s">
        <v>3203</v>
      </c>
      <c r="D24" s="117" t="s">
        <v>3595</v>
      </c>
      <c r="E24" s="117" t="s">
        <v>1210</v>
      </c>
      <c r="F24" s="117" t="s">
        <v>3208</v>
      </c>
    </row>
    <row r="25" spans="1:6" x14ac:dyDescent="0.3">
      <c r="A25" s="117" t="s">
        <v>3309</v>
      </c>
      <c r="B25" s="117" t="s">
        <v>3226</v>
      </c>
      <c r="C25" s="117" t="s">
        <v>3178</v>
      </c>
      <c r="D25" s="117" t="s">
        <v>3227</v>
      </c>
      <c r="E25" s="117" t="s">
        <v>3183</v>
      </c>
      <c r="F25" s="117" t="s">
        <v>3228</v>
      </c>
    </row>
    <row r="26" spans="1:6" x14ac:dyDescent="0.3">
      <c r="A26" s="117" t="s">
        <v>3309</v>
      </c>
      <c r="B26" s="117" t="s">
        <v>3226</v>
      </c>
      <c r="C26" s="117" t="s">
        <v>3178</v>
      </c>
      <c r="D26" s="117" t="s">
        <v>3229</v>
      </c>
      <c r="E26" s="117" t="s">
        <v>3183</v>
      </c>
      <c r="F26" s="117" t="s">
        <v>3199</v>
      </c>
    </row>
    <row r="27" spans="1:6" x14ac:dyDescent="0.3">
      <c r="A27" s="117" t="s">
        <v>3310</v>
      </c>
      <c r="B27" s="117" t="s">
        <v>3230</v>
      </c>
      <c r="C27" s="117" t="s">
        <v>3178</v>
      </c>
      <c r="D27" s="117" t="s">
        <v>3596</v>
      </c>
      <c r="E27" s="117" t="s">
        <v>3179</v>
      </c>
      <c r="F27" s="117" t="s">
        <v>3180</v>
      </c>
    </row>
    <row r="28" spans="1:6" x14ac:dyDescent="0.3">
      <c r="A28" s="117" t="s">
        <v>3416</v>
      </c>
      <c r="B28" s="117" t="s">
        <v>3417</v>
      </c>
      <c r="C28" s="117" t="s">
        <v>3232</v>
      </c>
      <c r="D28" s="117" t="s">
        <v>3597</v>
      </c>
      <c r="E28" s="117" t="s">
        <v>3179</v>
      </c>
      <c r="F28" s="117" t="s">
        <v>3180</v>
      </c>
    </row>
    <row r="29" spans="1:6" x14ac:dyDescent="0.3">
      <c r="A29" s="117" t="s">
        <v>3311</v>
      </c>
      <c r="B29" s="117" t="s">
        <v>3231</v>
      </c>
      <c r="C29" s="117" t="s">
        <v>3232</v>
      </c>
      <c r="D29" s="117" t="s">
        <v>3233</v>
      </c>
      <c r="E29" s="117" t="s">
        <v>3183</v>
      </c>
      <c r="F29" s="117" t="s">
        <v>3184</v>
      </c>
    </row>
    <row r="30" spans="1:6" x14ac:dyDescent="0.3">
      <c r="A30" s="117" t="s">
        <v>3311</v>
      </c>
      <c r="B30" s="117" t="s">
        <v>3231</v>
      </c>
      <c r="C30" s="117" t="s">
        <v>3232</v>
      </c>
      <c r="D30" s="117" t="s">
        <v>3234</v>
      </c>
      <c r="E30" s="117" t="s">
        <v>3183</v>
      </c>
      <c r="F30" s="117" t="s">
        <v>3199</v>
      </c>
    </row>
    <row r="31" spans="1:6" x14ac:dyDescent="0.3">
      <c r="A31" s="117" t="s">
        <v>3312</v>
      </c>
      <c r="B31" s="117" t="s">
        <v>3235</v>
      </c>
      <c r="C31" s="117" t="s">
        <v>3232</v>
      </c>
      <c r="D31" s="117" t="s">
        <v>3236</v>
      </c>
      <c r="E31" s="117" t="s">
        <v>1210</v>
      </c>
      <c r="F31" s="117" t="s">
        <v>3237</v>
      </c>
    </row>
    <row r="32" spans="1:6" x14ac:dyDescent="0.3">
      <c r="A32" s="117" t="s">
        <v>3372</v>
      </c>
      <c r="B32" s="117" t="s">
        <v>3373</v>
      </c>
      <c r="C32" s="117" t="s">
        <v>3232</v>
      </c>
      <c r="D32" s="117" t="s">
        <v>3598</v>
      </c>
      <c r="E32" s="117" t="s">
        <v>3183</v>
      </c>
      <c r="F32" s="117" t="s">
        <v>3184</v>
      </c>
    </row>
    <row r="33" spans="1:6" x14ac:dyDescent="0.3">
      <c r="A33" s="117" t="s">
        <v>3313</v>
      </c>
      <c r="B33" s="117" t="s">
        <v>3238</v>
      </c>
      <c r="C33" s="117" t="s">
        <v>3232</v>
      </c>
      <c r="D33" s="117" t="s">
        <v>3239</v>
      </c>
      <c r="E33" s="117" t="s">
        <v>1210</v>
      </c>
      <c r="F33" s="117" t="s">
        <v>3237</v>
      </c>
    </row>
    <row r="34" spans="1:6" x14ac:dyDescent="0.3">
      <c r="A34" s="117" t="s">
        <v>3313</v>
      </c>
      <c r="B34" s="117" t="s">
        <v>3238</v>
      </c>
      <c r="C34" s="117" t="s">
        <v>3232</v>
      </c>
      <c r="D34" s="117" t="s">
        <v>3599</v>
      </c>
      <c r="E34" s="117" t="s">
        <v>3179</v>
      </c>
      <c r="F34" s="117" t="s">
        <v>3180</v>
      </c>
    </row>
    <row r="35" spans="1:6" x14ac:dyDescent="0.3">
      <c r="A35" s="117" t="s">
        <v>3314</v>
      </c>
      <c r="B35" s="117" t="s">
        <v>3240</v>
      </c>
      <c r="C35" s="117" t="s">
        <v>3232</v>
      </c>
      <c r="D35" s="117" t="s">
        <v>3241</v>
      </c>
      <c r="E35" s="117" t="s">
        <v>3179</v>
      </c>
      <c r="F35" s="117" t="s">
        <v>3180</v>
      </c>
    </row>
    <row r="36" spans="1:6" x14ac:dyDescent="0.3">
      <c r="A36" s="117" t="s">
        <v>3242</v>
      </c>
      <c r="B36" s="117" t="s">
        <v>3243</v>
      </c>
      <c r="C36" s="117" t="s">
        <v>3232</v>
      </c>
      <c r="D36" s="117" t="s">
        <v>3244</v>
      </c>
      <c r="E36" s="117" t="s">
        <v>3179</v>
      </c>
      <c r="F36" s="117" t="s">
        <v>3180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9"/>
  <sheetViews>
    <sheetView workbookViewId="0">
      <selection activeCell="E19" sqref="E19"/>
    </sheetView>
  </sheetViews>
  <sheetFormatPr defaultColWidth="9" defaultRowHeight="15.65" x14ac:dyDescent="0.3"/>
  <cols>
    <col min="1" max="1" width="12.21875" style="73" bestFit="1" customWidth="1"/>
    <col min="2" max="2" width="13.33203125" style="73" bestFit="1" customWidth="1"/>
    <col min="3" max="3" width="8.6640625" style="73" bestFit="1" customWidth="1"/>
    <col min="4" max="4" width="10.77734375" style="73" bestFit="1" customWidth="1"/>
    <col min="5" max="5" width="18.109375" style="73" bestFit="1" customWidth="1"/>
    <col min="6" max="6" width="19.44140625" style="73" bestFit="1" customWidth="1"/>
    <col min="7" max="7" width="7.5546875" style="73" bestFit="1" customWidth="1"/>
    <col min="8" max="8" width="15.109375" style="73" bestFit="1" customWidth="1"/>
    <col min="9" max="16384" width="9" style="73"/>
  </cols>
  <sheetData>
    <row r="1" spans="1:8" x14ac:dyDescent="0.3">
      <c r="A1" s="54" t="s">
        <v>3600</v>
      </c>
      <c r="B1" s="54" t="s">
        <v>3061</v>
      </c>
      <c r="C1" s="54" t="s">
        <v>3418</v>
      </c>
      <c r="D1" s="54" t="s">
        <v>3419</v>
      </c>
      <c r="E1" s="54" t="s">
        <v>3245</v>
      </c>
      <c r="F1" s="54" t="s">
        <v>3176</v>
      </c>
      <c r="G1" s="54" t="s">
        <v>15</v>
      </c>
      <c r="H1" s="54" t="s">
        <v>3177</v>
      </c>
    </row>
    <row r="2" spans="1:8" x14ac:dyDescent="0.3">
      <c r="A2" s="110" t="s">
        <v>3315</v>
      </c>
      <c r="B2" s="110" t="s">
        <v>3246</v>
      </c>
      <c r="C2" s="110" t="s">
        <v>3420</v>
      </c>
      <c r="D2" s="110" t="s">
        <v>3421</v>
      </c>
      <c r="E2" s="110" t="s">
        <v>3247</v>
      </c>
      <c r="F2" s="110" t="s">
        <v>3248</v>
      </c>
      <c r="G2" s="110" t="s">
        <v>3179</v>
      </c>
      <c r="H2" s="110" t="s">
        <v>3249</v>
      </c>
    </row>
    <row r="3" spans="1:8" x14ac:dyDescent="0.3">
      <c r="A3" s="110" t="s">
        <v>3316</v>
      </c>
      <c r="B3" s="110" t="s">
        <v>3250</v>
      </c>
      <c r="C3" s="110" t="s">
        <v>3422</v>
      </c>
      <c r="D3" s="110" t="s">
        <v>3421</v>
      </c>
      <c r="E3" s="110" t="s">
        <v>3251</v>
      </c>
      <c r="F3" s="110" t="s">
        <v>3252</v>
      </c>
      <c r="G3" s="110" t="s">
        <v>3253</v>
      </c>
      <c r="H3" s="110" t="s">
        <v>3254</v>
      </c>
    </row>
    <row r="4" spans="1:8" x14ac:dyDescent="0.3">
      <c r="A4" s="110" t="s">
        <v>3316</v>
      </c>
      <c r="B4" s="110" t="s">
        <v>3250</v>
      </c>
      <c r="C4" s="110" t="s">
        <v>3422</v>
      </c>
      <c r="D4" s="110" t="s">
        <v>3421</v>
      </c>
      <c r="E4" s="110" t="s">
        <v>3251</v>
      </c>
      <c r="F4" s="110" t="s">
        <v>3255</v>
      </c>
      <c r="G4" s="110" t="s">
        <v>3256</v>
      </c>
      <c r="H4" s="110" t="s">
        <v>3257</v>
      </c>
    </row>
    <row r="5" spans="1:8" x14ac:dyDescent="0.3">
      <c r="A5" s="110" t="s">
        <v>3317</v>
      </c>
      <c r="B5" s="110" t="s">
        <v>3258</v>
      </c>
      <c r="C5" s="110" t="s">
        <v>3423</v>
      </c>
      <c r="D5" s="110" t="s">
        <v>3421</v>
      </c>
      <c r="E5" s="110" t="s">
        <v>3259</v>
      </c>
      <c r="F5" s="110" t="s">
        <v>3260</v>
      </c>
      <c r="G5" s="110" t="s">
        <v>3256</v>
      </c>
      <c r="H5" s="110" t="s">
        <v>3257</v>
      </c>
    </row>
    <row r="6" spans="1:8" x14ac:dyDescent="0.3">
      <c r="A6" s="110" t="s">
        <v>3318</v>
      </c>
      <c r="B6" s="110" t="s">
        <v>3261</v>
      </c>
      <c r="C6" s="110" t="s">
        <v>3424</v>
      </c>
      <c r="D6" s="110" t="s">
        <v>3421</v>
      </c>
      <c r="E6" s="110" t="s">
        <v>3262</v>
      </c>
      <c r="F6" s="110" t="s">
        <v>3263</v>
      </c>
      <c r="G6" s="110" t="s">
        <v>3256</v>
      </c>
      <c r="H6" s="110" t="s">
        <v>3257</v>
      </c>
    </row>
    <row r="7" spans="1:8" x14ac:dyDescent="0.3">
      <c r="A7" s="110" t="s">
        <v>3425</v>
      </c>
      <c r="B7" s="110" t="s">
        <v>3426</v>
      </c>
      <c r="C7" s="110" t="s">
        <v>3427</v>
      </c>
      <c r="D7" s="110" t="s">
        <v>3421</v>
      </c>
      <c r="E7" s="110" t="s">
        <v>3428</v>
      </c>
      <c r="F7" s="110" t="s">
        <v>3429</v>
      </c>
      <c r="G7" s="110" t="s">
        <v>3256</v>
      </c>
      <c r="H7" s="110" t="s">
        <v>3257</v>
      </c>
    </row>
    <row r="8" spans="1:8" x14ac:dyDescent="0.3">
      <c r="A8" s="110" t="s">
        <v>3319</v>
      </c>
      <c r="B8" s="110" t="s">
        <v>3320</v>
      </c>
      <c r="C8" s="110" t="s">
        <v>3430</v>
      </c>
      <c r="D8" s="110" t="s">
        <v>3421</v>
      </c>
      <c r="E8" s="110" t="s">
        <v>3321</v>
      </c>
      <c r="F8" s="110" t="s">
        <v>3603</v>
      </c>
      <c r="G8" s="110" t="s">
        <v>3256</v>
      </c>
      <c r="H8" s="110" t="s">
        <v>3257</v>
      </c>
    </row>
    <row r="9" spans="1:8" x14ac:dyDescent="0.3">
      <c r="A9" s="110" t="s">
        <v>3544</v>
      </c>
      <c r="B9" s="110" t="s">
        <v>3545</v>
      </c>
      <c r="C9" s="110" t="s">
        <v>3546</v>
      </c>
      <c r="D9" s="110" t="s">
        <v>3421</v>
      </c>
      <c r="E9" s="110" t="s">
        <v>3547</v>
      </c>
      <c r="F9" s="110" t="s">
        <v>3604</v>
      </c>
      <c r="G9" s="110" t="s">
        <v>3256</v>
      </c>
      <c r="H9" s="110" t="s">
        <v>3257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H14"/>
  <sheetViews>
    <sheetView workbookViewId="0">
      <selection activeCell="C10" sqref="C10"/>
    </sheetView>
  </sheetViews>
  <sheetFormatPr defaultColWidth="11.109375" defaultRowHeight="15.65" x14ac:dyDescent="0.3"/>
  <cols>
    <col min="1" max="1" width="11" style="73" bestFit="1" customWidth="1"/>
    <col min="2" max="3" width="23.21875" style="73" customWidth="1"/>
    <col min="4" max="4" width="11.109375" style="73"/>
    <col min="5" max="5" width="20.88671875" style="73" bestFit="1" customWidth="1"/>
    <col min="6" max="6" width="19.6640625" style="73" bestFit="1" customWidth="1"/>
    <col min="7" max="7" width="38.33203125" style="73" customWidth="1"/>
    <col min="8" max="8" width="28.44140625" style="73" customWidth="1"/>
    <col min="9" max="16384" width="11.109375" style="73"/>
  </cols>
  <sheetData>
    <row r="1" spans="1:8" x14ac:dyDescent="0.3">
      <c r="A1" s="118" t="s">
        <v>3161</v>
      </c>
      <c r="B1" s="118" t="s">
        <v>3605</v>
      </c>
      <c r="C1" s="118" t="s">
        <v>3061</v>
      </c>
      <c r="D1" s="118" t="s">
        <v>3606</v>
      </c>
      <c r="E1" s="118" t="s">
        <v>15</v>
      </c>
      <c r="F1" s="118" t="s">
        <v>3607</v>
      </c>
      <c r="G1" s="118" t="s">
        <v>3177</v>
      </c>
      <c r="H1" s="118" t="s">
        <v>3176</v>
      </c>
    </row>
    <row r="2" spans="1:8" x14ac:dyDescent="0.3">
      <c r="A2" s="119" t="s">
        <v>3608</v>
      </c>
      <c r="B2" s="119" t="s">
        <v>3609</v>
      </c>
      <c r="C2" s="119" t="s">
        <v>3610</v>
      </c>
      <c r="D2" s="119" t="s">
        <v>3611</v>
      </c>
      <c r="E2" s="119" t="s">
        <v>3183</v>
      </c>
      <c r="F2" s="119" t="s">
        <v>3601</v>
      </c>
      <c r="G2" s="119" t="s">
        <v>3612</v>
      </c>
      <c r="H2" s="119" t="s">
        <v>3613</v>
      </c>
    </row>
    <row r="3" spans="1:8" x14ac:dyDescent="0.3">
      <c r="A3" s="119" t="s">
        <v>3614</v>
      </c>
      <c r="B3" s="119" t="s">
        <v>3615</v>
      </c>
      <c r="C3" s="119" t="s">
        <v>3616</v>
      </c>
      <c r="D3" s="119" t="s">
        <v>3611</v>
      </c>
      <c r="E3" s="119" t="s">
        <v>3183</v>
      </c>
      <c r="F3" s="119" t="s">
        <v>3601</v>
      </c>
      <c r="G3" s="119" t="s">
        <v>3617</v>
      </c>
      <c r="H3" s="119" t="s">
        <v>3618</v>
      </c>
    </row>
    <row r="4" spans="1:8" x14ac:dyDescent="0.3">
      <c r="A4" s="119" t="s">
        <v>3312</v>
      </c>
      <c r="B4" s="119" t="s">
        <v>3619</v>
      </c>
      <c r="C4" s="119" t="s">
        <v>3620</v>
      </c>
      <c r="D4" s="119" t="s">
        <v>3611</v>
      </c>
      <c r="E4" s="119" t="s">
        <v>1210</v>
      </c>
      <c r="F4" s="119" t="s">
        <v>3602</v>
      </c>
      <c r="G4" s="119" t="s">
        <v>3621</v>
      </c>
      <c r="H4" s="119" t="s">
        <v>3622</v>
      </c>
    </row>
    <row r="5" spans="1:8" x14ac:dyDescent="0.3">
      <c r="A5" s="119" t="s">
        <v>3623</v>
      </c>
      <c r="B5" s="119" t="s">
        <v>3624</v>
      </c>
      <c r="C5" s="119" t="s">
        <v>3625</v>
      </c>
      <c r="D5" s="119" t="s">
        <v>3611</v>
      </c>
      <c r="E5" s="119" t="s">
        <v>3183</v>
      </c>
      <c r="F5" s="119" t="s">
        <v>3601</v>
      </c>
      <c r="G5" s="119" t="s">
        <v>3617</v>
      </c>
      <c r="H5" s="119" t="s">
        <v>3626</v>
      </c>
    </row>
    <row r="6" spans="1:8" x14ac:dyDescent="0.3">
      <c r="A6" s="119" t="s">
        <v>3627</v>
      </c>
      <c r="B6" s="119" t="s">
        <v>3628</v>
      </c>
      <c r="C6" s="119" t="s">
        <v>3629</v>
      </c>
      <c r="D6" s="119" t="s">
        <v>3611</v>
      </c>
      <c r="E6" s="119" t="s">
        <v>3183</v>
      </c>
      <c r="F6" s="119" t="s">
        <v>3601</v>
      </c>
      <c r="G6" s="119" t="s">
        <v>3630</v>
      </c>
      <c r="H6" s="119" t="s">
        <v>3631</v>
      </c>
    </row>
    <row r="7" spans="1:8" ht="24.45" x14ac:dyDescent="0.3">
      <c r="A7" s="119" t="s">
        <v>3627</v>
      </c>
      <c r="B7" s="119" t="s">
        <v>3628</v>
      </c>
      <c r="C7" s="119" t="s">
        <v>3629</v>
      </c>
      <c r="D7" s="119" t="s">
        <v>3611</v>
      </c>
      <c r="E7" s="119" t="s">
        <v>3183</v>
      </c>
      <c r="F7" s="119" t="s">
        <v>3601</v>
      </c>
      <c r="G7" s="119" t="s">
        <v>3632</v>
      </c>
      <c r="H7" s="119" t="s">
        <v>3631</v>
      </c>
    </row>
    <row r="8" spans="1:8" x14ac:dyDescent="0.3">
      <c r="A8" s="119" t="s">
        <v>3633</v>
      </c>
      <c r="B8" s="119" t="s">
        <v>3634</v>
      </c>
      <c r="C8" s="119" t="s">
        <v>3635</v>
      </c>
      <c r="D8" s="119" t="s">
        <v>3611</v>
      </c>
      <c r="E8" s="119" t="s">
        <v>3183</v>
      </c>
      <c r="F8" s="119" t="s">
        <v>3601</v>
      </c>
      <c r="G8" s="119" t="s">
        <v>3617</v>
      </c>
      <c r="H8" s="119" t="s">
        <v>3636</v>
      </c>
    </row>
    <row r="9" spans="1:8" x14ac:dyDescent="0.3">
      <c r="A9" s="119" t="s">
        <v>3637</v>
      </c>
      <c r="B9" s="119" t="s">
        <v>3638</v>
      </c>
      <c r="C9" s="119" t="s">
        <v>3639</v>
      </c>
      <c r="D9" s="119" t="s">
        <v>3611</v>
      </c>
      <c r="E9" s="119" t="s">
        <v>3183</v>
      </c>
      <c r="F9" s="119" t="s">
        <v>3601</v>
      </c>
      <c r="G9" s="119" t="s">
        <v>3617</v>
      </c>
      <c r="H9" s="119" t="s">
        <v>3640</v>
      </c>
    </row>
    <row r="10" spans="1:8" x14ac:dyDescent="0.3">
      <c r="A10" s="119" t="s">
        <v>3641</v>
      </c>
      <c r="B10" s="119" t="s">
        <v>3642</v>
      </c>
      <c r="C10" s="119" t="s">
        <v>3643</v>
      </c>
      <c r="D10" s="119" t="s">
        <v>3611</v>
      </c>
      <c r="E10" s="119" t="s">
        <v>3183</v>
      </c>
      <c r="F10" s="119" t="s">
        <v>3601</v>
      </c>
      <c r="G10" s="119" t="s">
        <v>3617</v>
      </c>
      <c r="H10" s="119" t="s">
        <v>3644</v>
      </c>
    </row>
    <row r="11" spans="1:8" x14ac:dyDescent="0.3">
      <c r="A11" s="119" t="s">
        <v>3645</v>
      </c>
      <c r="B11" s="119" t="s">
        <v>3646</v>
      </c>
      <c r="C11" s="119" t="s">
        <v>3647</v>
      </c>
      <c r="D11" s="119" t="s">
        <v>3611</v>
      </c>
      <c r="E11" s="119" t="s">
        <v>3183</v>
      </c>
      <c r="F11" s="119" t="s">
        <v>3601</v>
      </c>
      <c r="G11" s="119" t="s">
        <v>3617</v>
      </c>
      <c r="H11" s="119" t="s">
        <v>3648</v>
      </c>
    </row>
    <row r="12" spans="1:8" x14ac:dyDescent="0.3">
      <c r="A12" s="119" t="s">
        <v>3649</v>
      </c>
      <c r="B12" s="119" t="s">
        <v>3650</v>
      </c>
      <c r="C12" s="119" t="s">
        <v>3651</v>
      </c>
      <c r="D12" s="119" t="s">
        <v>3611</v>
      </c>
      <c r="E12" s="119" t="s">
        <v>1210</v>
      </c>
      <c r="F12" s="119" t="s">
        <v>3652</v>
      </c>
      <c r="G12" s="119" t="s">
        <v>3653</v>
      </c>
      <c r="H12" s="119" t="s">
        <v>3654</v>
      </c>
    </row>
    <row r="13" spans="1:8" x14ac:dyDescent="0.3">
      <c r="A13" s="119" t="s">
        <v>3311</v>
      </c>
      <c r="B13" s="119" t="s">
        <v>3655</v>
      </c>
      <c r="C13" s="119" t="s">
        <v>3656</v>
      </c>
      <c r="D13" s="119" t="s">
        <v>3611</v>
      </c>
      <c r="E13" s="119" t="s">
        <v>1210</v>
      </c>
      <c r="F13" s="119" t="s">
        <v>3601</v>
      </c>
      <c r="G13" s="119" t="s">
        <v>3657</v>
      </c>
      <c r="H13" s="119" t="s">
        <v>3658</v>
      </c>
    </row>
    <row r="14" spans="1:8" x14ac:dyDescent="0.3">
      <c r="A14" s="119" t="s">
        <v>3659</v>
      </c>
      <c r="B14" s="119" t="s">
        <v>3660</v>
      </c>
      <c r="C14" s="119" t="s">
        <v>3661</v>
      </c>
      <c r="D14" s="119" t="s">
        <v>3611</v>
      </c>
      <c r="E14" s="119" t="s">
        <v>1210</v>
      </c>
      <c r="F14" s="119" t="s">
        <v>3652</v>
      </c>
      <c r="G14" s="119" t="s">
        <v>3653</v>
      </c>
      <c r="H14" s="119" t="s">
        <v>3662</v>
      </c>
    </row>
  </sheetData>
  <autoFilter ref="A1:AE11" xr:uid="{1C36DBF1-33FD-4A0E-B135-0F39416C849D}"/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2026-04-22T23:54:24Z</dcterms:modified>
</cp:coreProperties>
</file>